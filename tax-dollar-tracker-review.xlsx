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Start here" sheetId="1" state="visible" r:id="rId1"/>
    <sheet name="2. Tax calculation" sheetId="2" state="visible" r:id="rId2"/>
    <sheet name="3. Federal allocation" sheetId="3" state="visible" r:id="rId3"/>
    <sheet name="4. Provincial allocation" sheetId="4" state="visible" r:id="rId4"/>
    <sheet name="5. Judgment calls" sheetId="5" state="visible" r:id="rId5"/>
    <sheet name="6. Known gaps" sheetId="6" state="visible" r:id="rId6"/>
  </sheets>
  <definedNames/>
  <calcPr calcId="124519" fullCalcOnLoad="1"/>
</workbook>
</file>

<file path=xl/styles.xml><?xml version="1.0" encoding="utf-8"?>
<styleSheet xmlns="http://schemas.openxmlformats.org/spreadsheetml/2006/main">
  <numFmts count="6">
    <numFmt numFmtId="164" formatCode="$#,##0,,&quot;M&quot;"/>
    <numFmt numFmtId="165" formatCode="$#,##0"/>
    <numFmt numFmtId="166" formatCode="0.0000"/>
    <numFmt numFmtId="167" formatCode="0.0%"/>
    <numFmt numFmtId="168" formatCode="0.00&quot;%&quot;"/>
    <numFmt numFmtId="169" formatCode="0.0&quot;%&quot;"/>
  </numFmts>
  <fonts count="10">
    <font>
      <name val="Calibri"/>
      <family val="2"/>
      <color theme="1"/>
      <sz val="11"/>
      <scheme val="minor"/>
    </font>
    <font>
      <name val="Aptos Narrow"/>
      <b val="1"/>
      <color rgb="00FFFFFF"/>
      <sz val="15"/>
    </font>
    <font>
      <name val="Aptos Narrow"/>
      <color rgb="00D6E4FF"/>
      <sz val="10"/>
    </font>
    <font>
      <name val="Aptos Narrow"/>
      <b val="1"/>
      <color rgb="001F3864"/>
      <sz val="11"/>
    </font>
    <font>
      <name val="Aptos Narrow"/>
      <sz val="10"/>
    </font>
    <font>
      <name val="Aptos Narrow"/>
      <b val="1"/>
      <sz val="10"/>
    </font>
    <font>
      <name val="Aptos Narrow"/>
      <b val="1"/>
      <color rgb="00FFFFFF"/>
      <sz val="11"/>
    </font>
    <font>
      <name val="Aptos Narrow"/>
      <color rgb="00595959"/>
      <sz val="9"/>
    </font>
    <font>
      <name val="Aptos Narrow"/>
      <b val="1"/>
      <color rgb="000000FF"/>
      <sz val="10"/>
    </font>
    <font>
      <name val="Aptos Narrow"/>
      <i val="1"/>
      <color rgb="00404040"/>
      <sz val="10"/>
    </font>
  </fonts>
  <fills count="8">
    <fill>
      <patternFill/>
    </fill>
    <fill>
      <patternFill patternType="gray125"/>
    </fill>
    <fill>
      <patternFill patternType="solid">
        <fgColor rgb="001F3864"/>
      </patternFill>
    </fill>
    <fill>
      <patternFill patternType="solid">
        <fgColor rgb="002563EB"/>
      </patternFill>
    </fill>
    <fill>
      <patternFill patternType="solid">
        <fgColor rgb="00FFF9DB"/>
      </patternFill>
    </fill>
    <fill>
      <patternFill patternType="solid">
        <fgColor rgb="00F2F2F2"/>
      </patternFill>
    </fill>
    <fill>
      <patternFill patternType="solid">
        <fgColor rgb="00E2EFDA"/>
      </patternFill>
    </fill>
    <fill>
      <patternFill patternType="solid">
        <fgColor rgb="00FFF2C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40">
    <xf numFmtId="0" fontId="0" fillId="0" borderId="0" pivotButton="0" quotePrefix="0" xfId="0"/>
    <xf numFmtId="0" fontId="1" fillId="2" borderId="0" applyAlignment="1" pivotButton="0" quotePrefix="0" xfId="0">
      <alignment vertical="center" indent="1"/>
    </xf>
    <xf numFmtId="0" fontId="2" fillId="2" borderId="0" applyAlignment="1" pivotButton="0" quotePrefix="0" xfId="0">
      <alignment vertical="center" wrapText="1" indent="1"/>
    </xf>
    <xf numFmtId="0" fontId="3" fillId="0" borderId="0" applyAlignment="1" pivotButton="0" quotePrefix="0" xfId="0">
      <alignment vertical="top" wrapText="1" indent="1"/>
    </xf>
    <xf numFmtId="0" fontId="4" fillId="0" borderId="0" applyAlignment="1" pivotButton="0" quotePrefix="0" xfId="0">
      <alignment vertical="top" wrapText="1" indent="1"/>
    </xf>
    <xf numFmtId="0" fontId="5" fillId="0" borderId="1" applyAlignment="1" pivotButton="0" quotePrefix="0" xfId="0">
      <alignment horizontal="center" vertical="center"/>
    </xf>
    <xf numFmtId="0" fontId="4" fillId="0" borderId="1" applyAlignment="1" pivotButton="0" quotePrefix="0" xfId="0">
      <alignment vertical="top" wrapText="1"/>
    </xf>
    <xf numFmtId="0" fontId="0" fillId="0" borderId="1" pivotButton="0" quotePrefix="0" xfId="0"/>
    <xf numFmtId="0" fontId="6" fillId="3" borderId="1" applyAlignment="1" pivotButton="0" quotePrefix="0" xfId="0">
      <alignment vertical="center" wrapText="1"/>
    </xf>
    <xf numFmtId="0" fontId="4" fillId="0" borderId="1" applyAlignment="1" pivotButton="0" quotePrefix="0" xfId="0">
      <alignment vertical="top"/>
    </xf>
    <xf numFmtId="164" fontId="5" fillId="0" borderId="1" applyAlignment="1" pivotButton="0" quotePrefix="0" xfId="0">
      <alignment vertical="top"/>
    </xf>
    <xf numFmtId="0" fontId="7" fillId="0" borderId="1" applyAlignment="1" pivotButton="0" quotePrefix="0" xfId="0">
      <alignment vertical="top" wrapText="1"/>
    </xf>
    <xf numFmtId="0" fontId="5" fillId="0" borderId="1" applyAlignment="1" pivotButton="0" quotePrefix="0" xfId="0">
      <alignment vertical="top"/>
    </xf>
    <xf numFmtId="165" fontId="8" fillId="4" borderId="1" applyAlignment="1" pivotButton="0" quotePrefix="0" xfId="0">
      <alignment vertical="top"/>
    </xf>
    <xf numFmtId="0" fontId="9" fillId="0" borderId="1" applyAlignment="1" pivotButton="0" quotePrefix="0" xfId="0">
      <alignment vertical="top"/>
    </xf>
    <xf numFmtId="0" fontId="0" fillId="0" borderId="4" pivotButton="0" quotePrefix="0" xfId="0"/>
    <xf numFmtId="0" fontId="0" fillId="0" borderId="5" pivotButton="0" quotePrefix="0" xfId="0"/>
    <xf numFmtId="3" fontId="6" fillId="3" borderId="1" applyAlignment="1" pivotButton="0" quotePrefix="0" xfId="0">
      <alignment horizontal="center" vertical="center"/>
    </xf>
    <xf numFmtId="165" fontId="4" fillId="0" borderId="1" applyAlignment="1" pivotButton="0" quotePrefix="0" xfId="0">
      <alignment vertical="top"/>
    </xf>
    <xf numFmtId="3" fontId="4" fillId="0" borderId="1" applyAlignment="1" pivotButton="0" quotePrefix="0" xfId="0">
      <alignment vertical="top"/>
    </xf>
    <xf numFmtId="166" fontId="4" fillId="0" borderId="1" applyAlignment="1" pivotButton="0" quotePrefix="0" xfId="0">
      <alignment vertical="top"/>
    </xf>
    <xf numFmtId="165" fontId="5" fillId="0" borderId="1" applyAlignment="1" pivotButton="0" quotePrefix="0" xfId="0">
      <alignment vertical="top"/>
    </xf>
    <xf numFmtId="165" fontId="7" fillId="0" borderId="1" applyAlignment="1" pivotButton="0" quotePrefix="0" xfId="0">
      <alignment vertical="top"/>
    </xf>
    <xf numFmtId="0" fontId="4" fillId="4" borderId="1" applyAlignment="1" pivotButton="0" quotePrefix="0" xfId="0">
      <alignment vertical="top"/>
    </xf>
    <xf numFmtId="165" fontId="7" fillId="5" borderId="1" applyAlignment="1" pivotButton="0" quotePrefix="0" xfId="0">
      <alignment vertical="top"/>
    </xf>
    <xf numFmtId="0" fontId="5" fillId="5" borderId="1" applyAlignment="1" pivotButton="0" quotePrefix="0" xfId="0">
      <alignment vertical="top"/>
    </xf>
    <xf numFmtId="0" fontId="5" fillId="6" borderId="1" applyAlignment="1" pivotButton="0" quotePrefix="0" xfId="0">
      <alignment vertical="top"/>
    </xf>
    <xf numFmtId="167" fontId="4" fillId="0" borderId="1" applyAlignment="1" pivotButton="0" quotePrefix="0" xfId="0">
      <alignment vertical="top"/>
    </xf>
    <xf numFmtId="168" fontId="4" fillId="0" borderId="1" applyAlignment="1" pivotButton="0" quotePrefix="0" xfId="0">
      <alignment vertical="top"/>
    </xf>
    <xf numFmtId="0" fontId="4" fillId="6" borderId="0" applyAlignment="1" pivotButton="0" quotePrefix="0" xfId="0">
      <alignment vertical="top" wrapText="1" indent="1"/>
    </xf>
    <xf numFmtId="0" fontId="0" fillId="6" borderId="0" pivotButton="0" quotePrefix="0" xfId="0"/>
    <xf numFmtId="168" fontId="7" fillId="0" borderId="1" applyAlignment="1" pivotButton="0" quotePrefix="0" xfId="0">
      <alignment vertical="top"/>
    </xf>
    <xf numFmtId="3" fontId="5" fillId="5" borderId="1" applyAlignment="1" pivotButton="0" quotePrefix="0" xfId="0">
      <alignment vertical="top"/>
    </xf>
    <xf numFmtId="168" fontId="5" fillId="5" borderId="1" applyAlignment="1" pivotButton="0" quotePrefix="0" xfId="0">
      <alignment vertical="top"/>
    </xf>
    <xf numFmtId="0" fontId="4" fillId="7" borderId="0" applyAlignment="1" pivotButton="0" quotePrefix="0" xfId="0">
      <alignment vertical="top" wrapText="1" indent="1"/>
    </xf>
    <xf numFmtId="0" fontId="0" fillId="7" borderId="0" pivotButton="0" quotePrefix="0" xfId="0"/>
    <xf numFmtId="169" fontId="4" fillId="0" borderId="1" applyAlignment="1" pivotButton="0" quotePrefix="0" xfId="0">
      <alignment vertical="top"/>
    </xf>
    <xf numFmtId="169" fontId="5" fillId="6" borderId="1" applyAlignment="1" pivotButton="0" quotePrefix="0" xfId="0">
      <alignment vertical="top"/>
    </xf>
    <xf numFmtId="0" fontId="5" fillId="0" borderId="1" applyAlignment="1" pivotButton="0" quotePrefix="0" xfId="0">
      <alignment vertical="top" wrapText="1"/>
    </xf>
    <xf numFmtId="0" fontId="9"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3" customWidth="1" min="1" max="1"/>
    <col width="96" customWidth="1" min="2" max="2"/>
    <col width="30" customWidth="1" min="3" max="3"/>
    <col width="30" customWidth="1" min="4" max="4"/>
  </cols>
  <sheetData>
    <row r="1" ht="30" customHeight="1">
      <c r="A1" s="1" t="inlineStr">
        <is>
          <t>Tax Dollar Tracker — accuracy review</t>
        </is>
      </c>
    </row>
    <row r="2" ht="26" customHeight="1">
      <c r="A2" s="2" t="inlineStr">
        <is>
          <t>A web tool that estimates a Canadian filer's income tax and shows where those dollars go. Please gut-check it before publication.</t>
        </is>
      </c>
    </row>
    <row r="4">
      <c r="A4" s="3" t="inlineStr">
        <is>
          <t>What the tool claims</t>
        </is>
      </c>
    </row>
    <row r="5" ht="48" customHeight="1">
      <c r="A5" s="4" t="inlineStr">
        <is>
          <t>You enter an annual income and a province. It calculates your 2025 federal and provincial income tax, then divides that tax across 22 spending categories in proportion to what the two levels of government actually spent. Federal spending comes from the 2024–25 Public Accounts; provincial from Statistics Canada's 2024 functional (CCOFOG) estimates.</t>
        </is>
      </c>
    </row>
    <row r="7">
      <c r="A7" s="3" t="inlineStr">
        <is>
          <t>The four things worth your time</t>
        </is>
      </c>
    </row>
    <row r="8" ht="42" customHeight="1">
      <c r="A8" s="5" t="inlineStr">
        <is>
          <t>1</t>
        </is>
      </c>
      <c r="B8" s="6" t="inlineStr">
        <is>
          <t>Is the tax arithmetic right? Tab 2 lays out all 13 jurisdictions with live formulas. The brackets have been checked against CRA's 2025 forms once already, so the useful question is whether the structure is right — surtax, health premium, abatement, ordering.</t>
        </is>
      </c>
      <c r="C8" s="7" t="n"/>
      <c r="D8" s="7" t="n"/>
    </row>
    <row r="9" ht="42" customHeight="1">
      <c r="A9" s="5" t="inlineStr">
        <is>
          <t>2</t>
        </is>
      </c>
      <c r="B9" s="6" t="inlineStr">
        <is>
          <t>Do the federal shares tie to the Public Accounts? Tab 3 gives each category the line it came from. The question is whether the mapping is defensible, not whether the numbers were transcribed correctly.</t>
        </is>
      </c>
      <c r="C9" s="7" t="n"/>
      <c r="D9" s="7" t="n"/>
    </row>
    <row r="10" ht="42" customHeight="1">
      <c r="A10" s="5" t="inlineStr">
        <is>
          <t>3</t>
        </is>
      </c>
      <c r="B10" s="6" t="inlineStr">
        <is>
          <t>Is the provincial construction sound? Tab 4. Ten categories built from CCOFOG functions on a consolidated provincial-territorial-local basis.</t>
        </is>
      </c>
      <c r="C10" s="7" t="n"/>
      <c r="D10" s="7" t="n"/>
    </row>
    <row r="11" ht="42" customHeight="1">
      <c r="A11" s="5" t="inlineStr">
        <is>
          <t>4</t>
        </is>
      </c>
      <c r="B11" s="6" t="inlineStr">
        <is>
          <t>Are the judgment calls the right ones? Tab 5. These are editorial decisions, not arithmetic, and they are where an outside view is worth most.</t>
        </is>
      </c>
      <c r="C11" s="7" t="n"/>
      <c r="D11" s="7" t="n"/>
    </row>
    <row r="13">
      <c r="A13" s="3" t="inlineStr">
        <is>
          <t>How to use this workbook</t>
        </is>
      </c>
    </row>
    <row r="14" ht="44" customHeight="1">
      <c r="A14" s="4" t="inlineStr">
        <is>
          <t>Every computed cell is a live formula, so you can change an input and watch the result move. Cream-shaded columns headed "Your view" are for you — write anything, they feed nothing. If a formula disagrees with what you expect, that is the finding: say so in the row.</t>
        </is>
      </c>
    </row>
    <row r="16">
      <c r="A16" s="3" t="inlineStr">
        <is>
          <t>What is deliberately NOT modelled</t>
        </is>
      </c>
    </row>
    <row r="17" ht="58" customHeight="1">
      <c r="A17" s="4" t="inlineStr">
        <is>
          <t>CPP and EI are excluded from the tax total because they are contributions to benefits you get back, not taxes. The credits they generate, the Canada Employment Amount, and provincial low-income reductions are also not applied, so the tax figure runs high — by about 3% at $200,000 and over 20% at $30,000. None of that changes the spending split, which is what the tool exists to show. Tab 6 has the full list.</t>
        </is>
      </c>
    </row>
    <row r="19">
      <c r="A19" s="3" t="inlineStr">
        <is>
          <t>Key figures, so you know roughly what to expect</t>
        </is>
      </c>
    </row>
    <row r="20" ht="28" customHeight="1">
      <c r="A20" s="8" t="inlineStr"/>
      <c r="B20" s="8" t="inlineStr">
        <is>
          <t>Figure</t>
        </is>
      </c>
      <c r="C20" s="8" t="inlineStr">
        <is>
          <t>Value</t>
        </is>
      </c>
      <c r="D20" s="8" t="inlineStr">
        <is>
          <t>Source</t>
        </is>
      </c>
    </row>
    <row r="21">
      <c r="B21" s="9" t="inlineStr">
        <is>
          <t>Federal total expenses 2024–25, excl. net actuarial losses</t>
        </is>
      </c>
      <c r="C21" s="10" t="n">
        <v>543279000000</v>
      </c>
      <c r="D21" s="11" t="inlineStr">
        <is>
          <t>Public Accounts 2025, Vol I, Table 3.6</t>
        </is>
      </c>
    </row>
    <row r="22">
      <c r="B22" s="9" t="inlineStr">
        <is>
          <t>Federal revenues 2024–25</t>
        </is>
      </c>
      <c r="C22" s="10" t="n">
        <v>510951000000</v>
      </c>
      <c r="D22" s="11" t="inlineStr">
        <is>
          <t>Public Accounts 2025, Vol I, Section 2</t>
        </is>
      </c>
    </row>
    <row r="23">
      <c r="B23" s="9" t="inlineStr">
        <is>
          <t>Federal annual deficit 2024–25</t>
        </is>
      </c>
      <c r="C23" s="10" t="n">
        <v>36348000000</v>
      </c>
      <c r="D23" s="11" t="inlineStr">
        <is>
          <t>derived: 547,299 − 510,951</t>
        </is>
      </c>
    </row>
    <row r="24">
      <c r="B24" s="9" t="inlineStr">
        <is>
          <t>Ontario provincial-territorial-local expenditure 2024</t>
        </is>
      </c>
      <c r="C24" s="10" t="n">
        <v>273632000000</v>
      </c>
      <c r="D24" s="11" t="inlineStr">
        <is>
          <t>StatCan 10-10-0005-01</t>
        </is>
      </c>
    </row>
  </sheetData>
  <mergeCells count="14">
    <mergeCell ref="B10:D10"/>
    <mergeCell ref="A1:D1"/>
    <mergeCell ref="A5:D5"/>
    <mergeCell ref="B11:D11"/>
    <mergeCell ref="A17:D17"/>
    <mergeCell ref="A4:D4"/>
    <mergeCell ref="B8:D8"/>
    <mergeCell ref="B9:D9"/>
    <mergeCell ref="A7:D7"/>
    <mergeCell ref="A2:D2"/>
    <mergeCell ref="A16:D16"/>
    <mergeCell ref="A19:D19"/>
    <mergeCell ref="A13:D13"/>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48"/>
  <sheetViews>
    <sheetView showGridLines="0" workbookViewId="0">
      <pane ySplit="2" topLeftCell="A3" activePane="bottomLeft" state="frozen"/>
      <selection pane="bottomLeft" activeCell="A1" sqref="A1"/>
    </sheetView>
  </sheetViews>
  <sheetFormatPr baseColWidth="8" defaultRowHeight="15"/>
  <cols>
    <col width="22" customWidth="1" min="1" max="1"/>
    <col width="11" customWidth="1" min="2" max="2"/>
    <col width="10" customWidth="1" min="3" max="3"/>
    <col width="7" customWidth="1" min="4" max="4"/>
    <col width="10" customWidth="1" min="5" max="5"/>
    <col width="7" customWidth="1" min="6" max="6"/>
    <col width="10" customWidth="1" min="7" max="7"/>
    <col width="7" customWidth="1" min="8" max="8"/>
    <col width="10" customWidth="1" min="9" max="9"/>
    <col width="7" customWidth="1" min="10" max="10"/>
    <col width="10" customWidth="1" min="11" max="11"/>
    <col width="7" customWidth="1" min="12" max="12"/>
    <col width="10" customWidth="1" min="13" max="13"/>
    <col width="7" customWidth="1" min="14" max="14"/>
    <col width="10" customWidth="1" min="15" max="15"/>
    <col width="7" customWidth="1" min="16" max="16"/>
    <col width="10" customWidth="1" min="17" max="17"/>
    <col width="7" customWidth="1" min="18" max="18"/>
    <col width="12" customWidth="1" min="19" max="19"/>
    <col width="11" customWidth="1" min="20" max="20"/>
    <col width="12" customWidth="1" min="21" max="21"/>
    <col width="12" customWidth="1" min="22" max="22"/>
    <col width="11" customWidth="1" min="23" max="23"/>
    <col width="10" customWidth="1" min="24" max="24"/>
    <col width="26" customWidth="1" min="25" max="25"/>
    <col width="11" customWidth="1" min="26" max="26"/>
    <col width="11" customWidth="1" min="27" max="27"/>
    <col width="11" customWidth="1" min="28" max="28"/>
    <col width="11" customWidth="1" min="29" max="29"/>
  </cols>
  <sheetData>
    <row r="1" ht="30" customHeight="1">
      <c r="A1" s="1" t="inlineStr">
        <is>
          <t>Tax calculation — 2025</t>
        </is>
      </c>
    </row>
    <row r="2" ht="26" customHeight="1">
      <c r="A2" s="2" t="inlineStr">
        <is>
          <t>Every tax figure here is a live formula reading the bracket cells beside it. Change a threshold, a rate, the basic personal amount or the income, and the tax recalculates.</t>
        </is>
      </c>
    </row>
    <row r="4">
      <c r="A4" s="12" t="inlineStr">
        <is>
          <t>Income to test:</t>
        </is>
      </c>
      <c r="B4" s="13" t="n">
        <v>130000</v>
      </c>
      <c r="C4" s="14" t="inlineStr">
        <is>
          <t>← change this and every row below recalculates</t>
        </is>
      </c>
      <c r="D4" s="15" t="n"/>
      <c r="E4" s="15" t="n"/>
      <c r="F4" s="15" t="n"/>
      <c r="G4" s="15" t="n"/>
      <c r="H4" s="15" t="n"/>
      <c r="I4" s="15" t="n"/>
      <c r="J4" s="15" t="n"/>
      <c r="K4" s="15" t="n"/>
      <c r="L4" s="15" t="n"/>
      <c r="M4" s="15" t="n"/>
      <c r="N4" s="15" t="n"/>
      <c r="O4" s="15" t="n"/>
      <c r="P4" s="15" t="n"/>
      <c r="Q4" s="15" t="n"/>
      <c r="R4" s="15" t="n"/>
      <c r="S4" s="15" t="n"/>
      <c r="T4" s="15" t="n"/>
      <c r="U4" s="15" t="n"/>
      <c r="V4" s="15" t="n"/>
      <c r="W4" s="15" t="n"/>
      <c r="X4" s="15" t="n"/>
      <c r="Y4" s="16" t="n"/>
    </row>
    <row r="6" ht="54" customHeight="1">
      <c r="A6" s="4" t="inlineStr">
        <is>
          <t>Bracket tax is the sum over brackets of (income capped at this threshold, less the previous threshold, floored at zero) times the rate. The basic personal amount is then credited at the lowest rate. Ontario adds a surtax of 20% of Ontario tax over $5,710 plus a further 36% over $7,307, then the Ontario Health Premium. Quebec's federal tax is reduced 16.5% by the abatement. A blank threshold means the top bracket, with no upper limit.</t>
        </is>
      </c>
    </row>
    <row r="8" ht="28" customHeight="1">
      <c r="A8" s="8" t="inlineStr">
        <is>
          <t>Jurisdiction</t>
        </is>
      </c>
      <c r="B8" s="8" t="inlineStr">
        <is>
          <t>BPA</t>
        </is>
      </c>
      <c r="C8" s="8" t="inlineStr">
        <is>
          <t>Threshold 1</t>
        </is>
      </c>
      <c r="D8" s="8" t="inlineStr">
        <is>
          <t>Rate</t>
        </is>
      </c>
      <c r="E8" s="8" t="inlineStr">
        <is>
          <t>Threshold 2</t>
        </is>
      </c>
      <c r="F8" s="8" t="inlineStr">
        <is>
          <t>Rate</t>
        </is>
      </c>
      <c r="G8" s="8" t="inlineStr">
        <is>
          <t>Threshold 3</t>
        </is>
      </c>
      <c r="H8" s="8" t="inlineStr">
        <is>
          <t>Rate</t>
        </is>
      </c>
      <c r="I8" s="8" t="inlineStr">
        <is>
          <t>Threshold 4</t>
        </is>
      </c>
      <c r="J8" s="8" t="inlineStr">
        <is>
          <t>Rate</t>
        </is>
      </c>
      <c r="K8" s="8" t="inlineStr">
        <is>
          <t>Threshold 5</t>
        </is>
      </c>
      <c r="L8" s="8" t="inlineStr">
        <is>
          <t>Rate</t>
        </is>
      </c>
      <c r="M8" s="8" t="inlineStr">
        <is>
          <t>Threshold 6</t>
        </is>
      </c>
      <c r="N8" s="8" t="inlineStr">
        <is>
          <t>Rate</t>
        </is>
      </c>
      <c r="O8" s="8" t="inlineStr">
        <is>
          <t>Threshold 7</t>
        </is>
      </c>
      <c r="P8" s="8" t="inlineStr">
        <is>
          <t>Rate</t>
        </is>
      </c>
      <c r="Q8" s="8" t="inlineStr">
        <is>
          <t>Threshold 8</t>
        </is>
      </c>
      <c r="R8" s="8" t="inlineStr">
        <is>
          <t>Rate</t>
        </is>
      </c>
      <c r="S8" s="8" t="inlineStr">
        <is>
          <t>Bracket tax</t>
        </is>
      </c>
      <c r="T8" s="8" t="inlineStr">
        <is>
          <t>BPA credit</t>
        </is>
      </c>
      <c r="U8" s="8" t="inlineStr">
        <is>
          <t>Surtax + OHP</t>
        </is>
      </c>
      <c r="V8" s="8" t="inlineStr">
        <is>
          <t>Tax (formula)</t>
        </is>
      </c>
      <c r="W8" s="8" t="inlineStr">
        <is>
          <t>App says</t>
        </is>
      </c>
      <c r="X8" s="8" t="inlineStr">
        <is>
          <t>Diff</t>
        </is>
      </c>
      <c r="Y8" s="8" t="inlineStr">
        <is>
          <t>Your view</t>
        </is>
      </c>
      <c r="Z8" s="17" t="n">
        <v>40000</v>
      </c>
      <c r="AA8" s="17" t="n">
        <v>75000</v>
      </c>
      <c r="AB8" s="17" t="n">
        <v>130000</v>
      </c>
      <c r="AC8" s="17" t="n">
        <v>250000</v>
      </c>
    </row>
    <row r="9">
      <c r="A9" s="12" t="inlineStr">
        <is>
          <t>Federal</t>
        </is>
      </c>
      <c r="B9" s="18" t="n">
        <v>16129</v>
      </c>
      <c r="C9" s="19" t="n">
        <v>57375</v>
      </c>
      <c r="D9" s="20" t="n">
        <v>0.145</v>
      </c>
      <c r="E9" s="19" t="n">
        <v>114750</v>
      </c>
      <c r="F9" s="20" t="n">
        <v>0.205</v>
      </c>
      <c r="G9" s="19" t="n">
        <v>177882</v>
      </c>
      <c r="H9" s="20" t="n">
        <v>0.26</v>
      </c>
      <c r="I9" s="19" t="n">
        <v>253414</v>
      </c>
      <c r="J9" s="20" t="n">
        <v>0.29</v>
      </c>
      <c r="K9" s="19" t="n"/>
      <c r="L9" s="20" t="n">
        <v>0.33</v>
      </c>
      <c r="M9" s="9" t="n"/>
      <c r="N9" s="9" t="n"/>
      <c r="O9" s="9" t="n"/>
      <c r="P9" s="9" t="n"/>
      <c r="Q9" s="9" t="n"/>
      <c r="R9" s="9" t="n"/>
      <c r="S9" s="18">
        <f>MAX(0,IF(C9="",$B$4,MIN($B$4,C9))-0)*D9+MAX(0,IF(E9="",$B$4,MIN($B$4,E9))-C9)*F9+MAX(0,IF(G9="",$B$4,MIN($B$4,G9))-E9)*H9+MAX(0,IF(I9="",$B$4,MIN($B$4,I9))-G9)*J9+MAX(0,IF(K9="",$B$4,MIN($B$4,K9))-I9)*L9</f>
        <v/>
      </c>
      <c r="T9" s="18">
        <f>-B9*D9</f>
        <v/>
      </c>
      <c r="U9" s="18" t="n">
        <v>0</v>
      </c>
      <c r="V9" s="21">
        <f>MAX(0,ROUND(S9+T9,0))</f>
        <v/>
      </c>
      <c r="W9" s="18">
        <f>IFERROR(INDEX(Z9:AC9,MATCH($B$4,$Z$8:$AC$8,0)),"—")</f>
        <v/>
      </c>
      <c r="X9" s="22">
        <f>IF(ISNUMBER(W9),V9-W9,"")</f>
        <v/>
      </c>
      <c r="Y9" s="23" t="inlineStr"/>
      <c r="Z9" s="24" t="n">
        <v>3461</v>
      </c>
      <c r="AA9" s="24" t="n">
        <v>9594</v>
      </c>
      <c r="AB9" s="24" t="n">
        <v>21708</v>
      </c>
      <c r="AC9" s="24" t="n">
        <v>55071</v>
      </c>
    </row>
    <row r="10">
      <c r="A10" s="12" t="inlineStr">
        <is>
          <t>Alberta (AB)</t>
        </is>
      </c>
      <c r="B10" s="18" t="n">
        <v>22323</v>
      </c>
      <c r="C10" s="19" t="n">
        <v>60000</v>
      </c>
      <c r="D10" s="20" t="n">
        <v>0.08</v>
      </c>
      <c r="E10" s="19" t="n">
        <v>151234</v>
      </c>
      <c r="F10" s="20" t="n">
        <v>0.1</v>
      </c>
      <c r="G10" s="19" t="n">
        <v>181481</v>
      </c>
      <c r="H10" s="20" t="n">
        <v>0.12</v>
      </c>
      <c r="I10" s="19" t="n">
        <v>241974</v>
      </c>
      <c r="J10" s="20" t="n">
        <v>0.13</v>
      </c>
      <c r="K10" s="19" t="n">
        <v>362961</v>
      </c>
      <c r="L10" s="20" t="n">
        <v>0.14</v>
      </c>
      <c r="M10" s="19" t="n"/>
      <c r="N10" s="20" t="n">
        <v>0.15</v>
      </c>
      <c r="O10" s="9" t="n"/>
      <c r="P10" s="9" t="n"/>
      <c r="Q10" s="9" t="n"/>
      <c r="R10" s="9" t="n"/>
      <c r="S10" s="18">
        <f>MAX(0,IF(C10="",$B$4,MIN($B$4,C10))-0)*D10+MAX(0,IF(E10="",$B$4,MIN($B$4,E10))-C10)*F10+MAX(0,IF(G10="",$B$4,MIN($B$4,G10))-E10)*H10+MAX(0,IF(I10="",$B$4,MIN($B$4,I10))-G10)*J10+MAX(0,IF(K10="",$B$4,MIN($B$4,K10))-I10)*L10+MAX(0,IF(M10="",$B$4,MIN($B$4,M10))-K10)*N10</f>
        <v/>
      </c>
      <c r="T10" s="18">
        <f>-B10*D10</f>
        <v/>
      </c>
      <c r="U10" s="18" t="n">
        <v>0</v>
      </c>
      <c r="V10" s="21">
        <f>MAX(0,ROUND(S10+T10,0))</f>
        <v/>
      </c>
      <c r="W10" s="18">
        <f>IFERROR(INDEX(Z10:AC10,MATCH($B$4,$Z$8:$AC$8,0)),"—")</f>
        <v/>
      </c>
      <c r="X10" s="22">
        <f>IF(ISNUMBER(W10),V10-W10,"")</f>
        <v/>
      </c>
      <c r="Y10" s="23" t="inlineStr"/>
      <c r="Z10" s="24" t="n">
        <v>1414</v>
      </c>
      <c r="AA10" s="24" t="n">
        <v>4514</v>
      </c>
      <c r="AB10" s="24" t="n">
        <v>10014</v>
      </c>
      <c r="AC10" s="24" t="n">
        <v>24755</v>
      </c>
    </row>
    <row r="11">
      <c r="A11" s="12" t="inlineStr">
        <is>
          <t>British Columbia (BC)</t>
        </is>
      </c>
      <c r="B11" s="18" t="n">
        <v>12932</v>
      </c>
      <c r="C11" s="19" t="n">
        <v>49279</v>
      </c>
      <c r="D11" s="20" t="n">
        <v>0.0506</v>
      </c>
      <c r="E11" s="19" t="n">
        <v>98560</v>
      </c>
      <c r="F11" s="20" t="n">
        <v>0.077</v>
      </c>
      <c r="G11" s="19" t="n">
        <v>113158</v>
      </c>
      <c r="H11" s="20" t="n">
        <v>0.105</v>
      </c>
      <c r="I11" s="19" t="n">
        <v>137407</v>
      </c>
      <c r="J11" s="20" t="n">
        <v>0.1229</v>
      </c>
      <c r="K11" s="19" t="n">
        <v>186306</v>
      </c>
      <c r="L11" s="20" t="n">
        <v>0.147</v>
      </c>
      <c r="M11" s="19" t="n">
        <v>259829</v>
      </c>
      <c r="N11" s="20" t="n">
        <v>0.168</v>
      </c>
      <c r="O11" s="19" t="n"/>
      <c r="P11" s="20" t="n">
        <v>0.205</v>
      </c>
      <c r="Q11" s="9" t="n"/>
      <c r="R11" s="9" t="n"/>
      <c r="S11" s="18">
        <f>MAX(0,IF(C11="",$B$4,MIN($B$4,C11))-0)*D11+MAX(0,IF(E11="",$B$4,MIN($B$4,E11))-C11)*F11+MAX(0,IF(G11="",$B$4,MIN($B$4,G11))-E11)*H11+MAX(0,IF(I11="",$B$4,MIN($B$4,I11))-G11)*J11+MAX(0,IF(K11="",$B$4,MIN($B$4,K11))-I11)*L11+MAX(0,IF(M11="",$B$4,MIN($B$4,M11))-K11)*N11+MAX(0,IF(O11="",$B$4,MIN($B$4,O11))-M11)*P11</f>
        <v/>
      </c>
      <c r="T11" s="18">
        <f>-B11*D11</f>
        <v/>
      </c>
      <c r="U11" s="18" t="n">
        <v>0</v>
      </c>
      <c r="V11" s="21">
        <f>MAX(0,ROUND(S11+T11,0))</f>
        <v/>
      </c>
      <c r="W11" s="18">
        <f>IFERROR(INDEX(Z11:AC11,MATCH($B$4,$Z$8:$AC$8,0)),"—")</f>
        <v/>
      </c>
      <c r="X11" s="22">
        <f>IF(ISNUMBER(W11),V11-W11,"")</f>
        <v/>
      </c>
      <c r="Y11" s="23" t="inlineStr"/>
      <c r="Z11" s="24" t="n">
        <v>1370</v>
      </c>
      <c r="AA11" s="24" t="n">
        <v>3820</v>
      </c>
      <c r="AB11" s="24" t="n">
        <v>9236</v>
      </c>
      <c r="AC11" s="24" t="n">
        <v>28036</v>
      </c>
    </row>
    <row r="12">
      <c r="A12" s="12" t="inlineStr">
        <is>
          <t>Manitoba (MB)</t>
        </is>
      </c>
      <c r="B12" s="18" t="n">
        <v>15780</v>
      </c>
      <c r="C12" s="19" t="n">
        <v>47000</v>
      </c>
      <c r="D12" s="20" t="n">
        <v>0.108</v>
      </c>
      <c r="E12" s="19" t="n">
        <v>100000</v>
      </c>
      <c r="F12" s="20" t="n">
        <v>0.1275</v>
      </c>
      <c r="G12" s="19" t="n"/>
      <c r="H12" s="20" t="n">
        <v>0.174</v>
      </c>
      <c r="I12" s="9" t="n"/>
      <c r="J12" s="9" t="n"/>
      <c r="K12" s="9" t="n"/>
      <c r="L12" s="9" t="n"/>
      <c r="M12" s="9" t="n"/>
      <c r="N12" s="9" t="n"/>
      <c r="O12" s="9" t="n"/>
      <c r="P12" s="9" t="n"/>
      <c r="Q12" s="9" t="n"/>
      <c r="R12" s="9" t="n"/>
      <c r="S12" s="18">
        <f>MAX(0,IF(C12="",$B$4,MIN($B$4,C12))-0)*D12+MAX(0,IF(E12="",$B$4,MIN($B$4,E12))-C12)*F12+MAX(0,IF(G12="",$B$4,MIN($B$4,G12))-E12)*H12</f>
        <v/>
      </c>
      <c r="T12" s="18">
        <f>-B12*D12</f>
        <v/>
      </c>
      <c r="U12" s="18" t="n">
        <v>0</v>
      </c>
      <c r="V12" s="21">
        <f>MAX(0,ROUND(S12+T12,0))</f>
        <v/>
      </c>
      <c r="W12" s="18">
        <f>IFERROR(INDEX(Z12:AC12,MATCH($B$4,$Z$8:$AC$8,0)),"—")</f>
        <v/>
      </c>
      <c r="X12" s="22">
        <f>IF(ISNUMBER(W12),V12-W12,"")</f>
        <v/>
      </c>
      <c r="Y12" s="23" t="inlineStr"/>
      <c r="Z12" s="24" t="n">
        <v>2616</v>
      </c>
      <c r="AA12" s="24" t="n">
        <v>6942</v>
      </c>
      <c r="AB12" s="24" t="n">
        <v>15349</v>
      </c>
      <c r="AC12" s="24" t="n">
        <v>36229</v>
      </c>
    </row>
    <row r="13">
      <c r="A13" s="12" t="inlineStr">
        <is>
          <t>New Brunswick (NB)</t>
        </is>
      </c>
      <c r="B13" s="18" t="n">
        <v>13396</v>
      </c>
      <c r="C13" s="19" t="n">
        <v>51306</v>
      </c>
      <c r="D13" s="20" t="n">
        <v>0.094</v>
      </c>
      <c r="E13" s="19" t="n">
        <v>102614</v>
      </c>
      <c r="F13" s="20" t="n">
        <v>0.14</v>
      </c>
      <c r="G13" s="19" t="n">
        <v>190060</v>
      </c>
      <c r="H13" s="20" t="n">
        <v>0.16</v>
      </c>
      <c r="I13" s="19" t="n"/>
      <c r="J13" s="20" t="n">
        <v>0.195</v>
      </c>
      <c r="K13" s="9" t="n"/>
      <c r="L13" s="9" t="n"/>
      <c r="M13" s="9" t="n"/>
      <c r="N13" s="9" t="n"/>
      <c r="O13" s="9" t="n"/>
      <c r="P13" s="9" t="n"/>
      <c r="Q13" s="9" t="n"/>
      <c r="R13" s="9" t="n"/>
      <c r="S13" s="18">
        <f>MAX(0,IF(C13="",$B$4,MIN($B$4,C13))-0)*D13+MAX(0,IF(E13="",$B$4,MIN($B$4,E13))-C13)*F13+MAX(0,IF(G13="",$B$4,MIN($B$4,G13))-E13)*H13+MAX(0,IF(I13="",$B$4,MIN($B$4,I13))-G13)*J13</f>
        <v/>
      </c>
      <c r="T13" s="18">
        <f>-B13*D13</f>
        <v/>
      </c>
      <c r="U13" s="18" t="n">
        <v>0</v>
      </c>
      <c r="V13" s="21">
        <f>MAX(0,ROUND(S13+T13,0))</f>
        <v/>
      </c>
      <c r="W13" s="18">
        <f>IFERROR(INDEX(Z13:AC13,MATCH($B$4,$Z$8:$AC$8,0)),"—")</f>
        <v/>
      </c>
      <c r="X13" s="22">
        <f>IF(ISNUMBER(W13),V13-W13,"")</f>
        <v/>
      </c>
      <c r="Y13" s="23" t="inlineStr"/>
      <c r="Z13" s="24" t="n">
        <v>2501</v>
      </c>
      <c r="AA13" s="24" t="n">
        <v>6881</v>
      </c>
      <c r="AB13" s="24" t="n">
        <v>15128</v>
      </c>
      <c r="AC13" s="24" t="n">
        <v>36426</v>
      </c>
    </row>
    <row r="14">
      <c r="A14" s="12" t="inlineStr">
        <is>
          <t>Newfoundland and Labrador (NL)</t>
        </is>
      </c>
      <c r="B14" s="18" t="n">
        <v>11067</v>
      </c>
      <c r="C14" s="19" t="n">
        <v>44192</v>
      </c>
      <c r="D14" s="20" t="n">
        <v>0.08699999999999999</v>
      </c>
      <c r="E14" s="19" t="n">
        <v>88382</v>
      </c>
      <c r="F14" s="20" t="n">
        <v>0.145</v>
      </c>
      <c r="G14" s="19" t="n">
        <v>157792</v>
      </c>
      <c r="H14" s="20" t="n">
        <v>0.158</v>
      </c>
      <c r="I14" s="19" t="n">
        <v>220910</v>
      </c>
      <c r="J14" s="20" t="n">
        <v>0.178</v>
      </c>
      <c r="K14" s="19" t="n">
        <v>282214</v>
      </c>
      <c r="L14" s="20" t="n">
        <v>0.198</v>
      </c>
      <c r="M14" s="19" t="n">
        <v>564429</v>
      </c>
      <c r="N14" s="20" t="n">
        <v>0.208</v>
      </c>
      <c r="O14" s="19" t="n">
        <v>1128858</v>
      </c>
      <c r="P14" s="20" t="n">
        <v>0.213</v>
      </c>
      <c r="Q14" s="19" t="n"/>
      <c r="R14" s="20" t="n">
        <v>0.218</v>
      </c>
      <c r="S14" s="18">
        <f>MAX(0,IF(C14="",$B$4,MIN($B$4,C14))-0)*D14+MAX(0,IF(E14="",$B$4,MIN($B$4,E14))-C14)*F14+MAX(0,IF(G14="",$B$4,MIN($B$4,G14))-E14)*H14+MAX(0,IF(I14="",$B$4,MIN($B$4,I14))-G14)*J14+MAX(0,IF(K14="",$B$4,MIN($B$4,K14))-I14)*L14+MAX(0,IF(M14="",$B$4,MIN($B$4,M14))-K14)*N14+MAX(0,IF(O14="",$B$4,MIN($B$4,O14))-M14)*P14+MAX(0,IF(Q14="",$B$4,MIN($B$4,Q14))-O14)*R14</f>
        <v/>
      </c>
      <c r="T14" s="18">
        <f>-B14*D14</f>
        <v/>
      </c>
      <c r="U14" s="18" t="n">
        <v>0</v>
      </c>
      <c r="V14" s="21">
        <f>MAX(0,ROUND(S14+T14,0))</f>
        <v/>
      </c>
      <c r="W14" s="18">
        <f>IFERROR(INDEX(Z14:AC14,MATCH($B$4,$Z$8:$AC$8,0)),"—")</f>
        <v/>
      </c>
      <c r="X14" s="22">
        <f>IF(ISNUMBER(W14),V14-W14,"")</f>
        <v/>
      </c>
      <c r="Y14" s="23" t="inlineStr"/>
      <c r="Z14" s="24" t="n">
        <v>2517</v>
      </c>
      <c r="AA14" s="24" t="n">
        <v>7349</v>
      </c>
      <c r="AB14" s="24" t="n">
        <v>15865</v>
      </c>
      <c r="AC14" s="24" t="n">
        <v>37251</v>
      </c>
    </row>
    <row r="15">
      <c r="A15" s="12" t="inlineStr">
        <is>
          <t>Nova Scotia (NS)</t>
        </is>
      </c>
      <c r="B15" s="18" t="n">
        <v>11744</v>
      </c>
      <c r="C15" s="19" t="n">
        <v>30507</v>
      </c>
      <c r="D15" s="20" t="n">
        <v>0.08790000000000001</v>
      </c>
      <c r="E15" s="19" t="n">
        <v>61015</v>
      </c>
      <c r="F15" s="20" t="n">
        <v>0.1495</v>
      </c>
      <c r="G15" s="19" t="n">
        <v>95883</v>
      </c>
      <c r="H15" s="20" t="n">
        <v>0.1667</v>
      </c>
      <c r="I15" s="19" t="n">
        <v>154650</v>
      </c>
      <c r="J15" s="20" t="n">
        <v>0.175</v>
      </c>
      <c r="K15" s="19" t="n"/>
      <c r="L15" s="20" t="n">
        <v>0.21</v>
      </c>
      <c r="M15" s="9" t="n"/>
      <c r="N15" s="9" t="n"/>
      <c r="O15" s="9" t="n"/>
      <c r="P15" s="9" t="n"/>
      <c r="Q15" s="9" t="n"/>
      <c r="R15" s="9" t="n"/>
      <c r="S15" s="18">
        <f>MAX(0,IF(C15="",$B$4,MIN($B$4,C15))-0)*D15+MAX(0,IF(E15="",$B$4,MIN($B$4,E15))-C15)*F15+MAX(0,IF(G15="",$B$4,MIN($B$4,G15))-E15)*H15+MAX(0,IF(I15="",$B$4,MIN($B$4,I15))-G15)*J15+MAX(0,IF(K15="",$B$4,MIN($B$4,K15))-I15)*L15</f>
        <v/>
      </c>
      <c r="T15" s="18">
        <f>-B15*D15</f>
        <v/>
      </c>
      <c r="U15" s="18" t="n">
        <v>0</v>
      </c>
      <c r="V15" s="21">
        <f>MAX(0,ROUND(S15+T15,0))</f>
        <v/>
      </c>
      <c r="W15" s="18">
        <f>IFERROR(INDEX(Z15:AC15,MATCH($B$4,$Z$8:$AC$8,0)),"—")</f>
        <v/>
      </c>
      <c r="X15" s="22">
        <f>IF(ISNUMBER(W15),V15-W15,"")</f>
        <v/>
      </c>
      <c r="Y15" s="23" t="inlineStr"/>
      <c r="Z15" s="24" t="n">
        <v>3068</v>
      </c>
      <c r="AA15" s="24" t="n">
        <v>8542</v>
      </c>
      <c r="AB15" s="24" t="n">
        <v>17993</v>
      </c>
      <c r="AC15" s="24" t="n">
        <v>42330</v>
      </c>
    </row>
    <row r="16">
      <c r="A16" s="12" t="inlineStr">
        <is>
          <t>Northwest Territories (NT)</t>
        </is>
      </c>
      <c r="B16" s="18" t="n">
        <v>17842</v>
      </c>
      <c r="C16" s="19" t="n">
        <v>51964</v>
      </c>
      <c r="D16" s="20" t="n">
        <v>0.059</v>
      </c>
      <c r="E16" s="19" t="n">
        <v>103930</v>
      </c>
      <c r="F16" s="20" t="n">
        <v>0.08599999999999999</v>
      </c>
      <c r="G16" s="19" t="n">
        <v>168967</v>
      </c>
      <c r="H16" s="20" t="n">
        <v>0.122</v>
      </c>
      <c r="I16" s="19" t="n"/>
      <c r="J16" s="20" t="n">
        <v>0.1405</v>
      </c>
      <c r="K16" s="9" t="n"/>
      <c r="L16" s="9" t="n"/>
      <c r="M16" s="9" t="n"/>
      <c r="N16" s="9" t="n"/>
      <c r="O16" s="9" t="n"/>
      <c r="P16" s="9" t="n"/>
      <c r="Q16" s="9" t="n"/>
      <c r="R16" s="9" t="n"/>
      <c r="S16" s="18">
        <f>MAX(0,IF(C16="",$B$4,MIN($B$4,C16))-0)*D16+MAX(0,IF(E16="",$B$4,MIN($B$4,E16))-C16)*F16+MAX(0,IF(G16="",$B$4,MIN($B$4,G16))-E16)*H16+MAX(0,IF(I16="",$B$4,MIN($B$4,I16))-G16)*J16</f>
        <v/>
      </c>
      <c r="T16" s="18">
        <f>-B16*D16</f>
        <v/>
      </c>
      <c r="U16" s="18" t="n">
        <v>0</v>
      </c>
      <c r="V16" s="21">
        <f>MAX(0,ROUND(S16+T16,0))</f>
        <v/>
      </c>
      <c r="W16" s="18">
        <f>IFERROR(INDEX(Z16:AC16,MATCH($B$4,$Z$8:$AC$8,0)),"—")</f>
        <v/>
      </c>
      <c r="X16" s="22">
        <f>IF(ISNUMBER(W16),V16-W16,"")</f>
        <v/>
      </c>
      <c r="Y16" s="23" t="inlineStr"/>
      <c r="Z16" s="24" t="n">
        <v>1307</v>
      </c>
      <c r="AA16" s="24" t="n">
        <v>3994</v>
      </c>
      <c r="AB16" s="24" t="n">
        <v>9663</v>
      </c>
      <c r="AC16" s="24" t="n">
        <v>25802</v>
      </c>
    </row>
    <row r="17">
      <c r="A17" s="12" t="inlineStr">
        <is>
          <t>Nunavut (NU)</t>
        </is>
      </c>
      <c r="B17" s="18" t="n">
        <v>19274</v>
      </c>
      <c r="C17" s="19" t="n">
        <v>54707</v>
      </c>
      <c r="D17" s="20" t="n">
        <v>0.04</v>
      </c>
      <c r="E17" s="19" t="n">
        <v>109413</v>
      </c>
      <c r="F17" s="20" t="n">
        <v>0.07000000000000001</v>
      </c>
      <c r="G17" s="19" t="n">
        <v>177881</v>
      </c>
      <c r="H17" s="20" t="n">
        <v>0.09</v>
      </c>
      <c r="I17" s="19" t="n"/>
      <c r="J17" s="20" t="n">
        <v>0.115</v>
      </c>
      <c r="K17" s="9" t="n"/>
      <c r="L17" s="9" t="n"/>
      <c r="M17" s="9" t="n"/>
      <c r="N17" s="9" t="n"/>
      <c r="O17" s="9" t="n"/>
      <c r="P17" s="9" t="n"/>
      <c r="Q17" s="9" t="n"/>
      <c r="R17" s="9" t="n"/>
      <c r="S17" s="18">
        <f>MAX(0,IF(C17="",$B$4,MIN($B$4,C17))-0)*D17+MAX(0,IF(E17="",$B$4,MIN($B$4,E17))-C17)*F17+MAX(0,IF(G17="",$B$4,MIN($B$4,G17))-E17)*H17+MAX(0,IF(I17="",$B$4,MIN($B$4,I17))-G17)*J17</f>
        <v/>
      </c>
      <c r="T17" s="18">
        <f>-B17*D17</f>
        <v/>
      </c>
      <c r="U17" s="18" t="n">
        <v>0</v>
      </c>
      <c r="V17" s="21">
        <f>MAX(0,ROUND(S17+T17,0))</f>
        <v/>
      </c>
      <c r="W17" s="18">
        <f>IFERROR(INDEX(Z17:AC17,MATCH($B$4,$Z$8:$AC$8,0)),"—")</f>
        <v/>
      </c>
      <c r="X17" s="22">
        <f>IF(ISNUMBER(W17),V17-W17,"")</f>
        <v/>
      </c>
      <c r="Y17" s="23" t="inlineStr"/>
      <c r="Z17" s="24" t="n">
        <v>829</v>
      </c>
      <c r="AA17" s="24" t="n">
        <v>2838</v>
      </c>
      <c r="AB17" s="24" t="n">
        <v>7100</v>
      </c>
      <c r="AC17" s="24" t="n">
        <v>19703</v>
      </c>
    </row>
    <row r="18">
      <c r="A18" s="12" t="inlineStr">
        <is>
          <t>Ontario (ON)</t>
        </is>
      </c>
      <c r="B18" s="18" t="n">
        <v>12747</v>
      </c>
      <c r="C18" s="19" t="n">
        <v>52886</v>
      </c>
      <c r="D18" s="20" t="n">
        <v>0.0505</v>
      </c>
      <c r="E18" s="19" t="n">
        <v>105775</v>
      </c>
      <c r="F18" s="20" t="n">
        <v>0.0915</v>
      </c>
      <c r="G18" s="19" t="n">
        <v>150000</v>
      </c>
      <c r="H18" s="20" t="n">
        <v>0.1116</v>
      </c>
      <c r="I18" s="19" t="n">
        <v>220000</v>
      </c>
      <c r="J18" s="20" t="n">
        <v>0.1216</v>
      </c>
      <c r="K18" s="19" t="n"/>
      <c r="L18" s="20" t="n">
        <v>0.1316</v>
      </c>
      <c r="M18" s="9" t="n"/>
      <c r="N18" s="9" t="n"/>
      <c r="O18" s="9" t="n"/>
      <c r="P18" s="9" t="n"/>
      <c r="Q18" s="9" t="n"/>
      <c r="R18" s="9" t="n"/>
      <c r="S18" s="18">
        <f>MAX(0,IF(C18="",$B$4,MIN($B$4,C18))-0)*D18+MAX(0,IF(E18="",$B$4,MIN($B$4,E18))-C18)*F18+MAX(0,IF(G18="",$B$4,MIN($B$4,G18))-E18)*H18+MAX(0,IF(I18="",$B$4,MIN($B$4,I18))-G18)*J18+MAX(0,IF(K18="",$B$4,MIN($B$4,K18))-I18)*L18</f>
        <v/>
      </c>
      <c r="T18" s="18">
        <f>-B18*D18</f>
        <v/>
      </c>
      <c r="U18" s="18">
        <f>MAX(0,MAX(0,ROUND(S18+T18,0))-5710)*0.2+MAX(0,MAX(0,ROUND(S18+T18,0))-7307)*0.36+IF($B$4&lt;=20000,0,IF($B$4&lt;=25000,MIN(300,($B$4-20000)*0.06),IF($B$4&lt;=36000,300,IF($B$4&lt;=38500,MIN(450,300+($B$4-36000)*0.06),IF($B$4&lt;=48000,450,IF($B$4&lt;=48600,MIN(600,450+($B$4-48000)*0.25),IF($B$4&lt;=72000,600,IF($B$4&lt;=72600,MIN(750,600+($B$4-72000)*0.25),IF($B$4&lt;=200000,750,IF($B$4&lt;=200600,MIN(900,750+($B$4-200000)*0.25),900))))))))))</f>
        <v/>
      </c>
      <c r="V18" s="21">
        <f>ROUND(MAX(0,ROUND(S18+T18,0))+U18,0)</f>
        <v/>
      </c>
      <c r="W18" s="18">
        <f>IFERROR(INDEX(Z18:AC18,MATCH($B$4,$Z$8:$AC$8,0)),"—")</f>
        <v/>
      </c>
      <c r="X18" s="22">
        <f>IF(ISNUMBER(W18),V18-W18,"")</f>
        <v/>
      </c>
      <c r="Y18" s="23" t="inlineStr"/>
      <c r="Z18" s="24" t="n">
        <v>1826</v>
      </c>
      <c r="AA18" s="24" t="n">
        <v>4800</v>
      </c>
      <c r="AB18" s="24" t="n">
        <v>11907</v>
      </c>
      <c r="AC18" s="24" t="n">
        <v>34976</v>
      </c>
    </row>
    <row r="19">
      <c r="A19" s="12" t="inlineStr">
        <is>
          <t>Prince Edward Island (PE)</t>
        </is>
      </c>
      <c r="B19" s="18" t="n">
        <v>14650</v>
      </c>
      <c r="C19" s="19" t="n">
        <v>33328</v>
      </c>
      <c r="D19" s="20" t="n">
        <v>0.095</v>
      </c>
      <c r="E19" s="19" t="n">
        <v>64656</v>
      </c>
      <c r="F19" s="20" t="n">
        <v>0.1347</v>
      </c>
      <c r="G19" s="19" t="n">
        <v>105000</v>
      </c>
      <c r="H19" s="20" t="n">
        <v>0.166</v>
      </c>
      <c r="I19" s="19" t="n">
        <v>140000</v>
      </c>
      <c r="J19" s="20" t="n">
        <v>0.1762</v>
      </c>
      <c r="K19" s="19" t="n"/>
      <c r="L19" s="20" t="n">
        <v>0.19</v>
      </c>
      <c r="M19" s="9" t="n"/>
      <c r="N19" s="9" t="n"/>
      <c r="O19" s="9" t="n"/>
      <c r="P19" s="9" t="n"/>
      <c r="Q19" s="9" t="n"/>
      <c r="R19" s="9" t="n"/>
      <c r="S19" s="18">
        <f>MAX(0,IF(C19="",$B$4,MIN($B$4,C19))-0)*D19+MAX(0,IF(E19="",$B$4,MIN($B$4,E19))-C19)*F19+MAX(0,IF(G19="",$B$4,MIN($B$4,G19))-E19)*H19+MAX(0,IF(I19="",$B$4,MIN($B$4,I19))-G19)*J19+MAX(0,IF(K19="",$B$4,MIN($B$4,K19))-I19)*L19</f>
        <v/>
      </c>
      <c r="T19" s="18">
        <f>-B19*D19</f>
        <v/>
      </c>
      <c r="U19" s="18" t="n">
        <v>0</v>
      </c>
      <c r="V19" s="21">
        <f>MAX(0,ROUND(S19+T19,0))</f>
        <v/>
      </c>
      <c r="W19" s="18">
        <f>IFERROR(INDEX(Z19:AC19,MATCH($B$4,$Z$8:$AC$8,0)),"—")</f>
        <v/>
      </c>
      <c r="X19" s="22">
        <f>IF(ISNUMBER(W19),V19-W19,"")</f>
        <v/>
      </c>
      <c r="Y19" s="23" t="inlineStr"/>
      <c r="Z19" s="24" t="n">
        <v>2673</v>
      </c>
      <c r="AA19" s="24" t="n">
        <v>7711</v>
      </c>
      <c r="AB19" s="24" t="n">
        <v>17096</v>
      </c>
      <c r="AC19" s="24" t="n">
        <v>39758</v>
      </c>
    </row>
    <row r="20">
      <c r="A20" s="12" t="inlineStr">
        <is>
          <t>Quebec (QC)</t>
        </is>
      </c>
      <c r="B20" s="18" t="n">
        <v>18571</v>
      </c>
      <c r="C20" s="19" t="n">
        <v>53255</v>
      </c>
      <c r="D20" s="20" t="n">
        <v>0.14</v>
      </c>
      <c r="E20" s="19" t="n">
        <v>106495</v>
      </c>
      <c r="F20" s="20" t="n">
        <v>0.19</v>
      </c>
      <c r="G20" s="19" t="n">
        <v>129590</v>
      </c>
      <c r="H20" s="20" t="n">
        <v>0.24</v>
      </c>
      <c r="I20" s="19" t="n"/>
      <c r="J20" s="20" t="n">
        <v>0.2575</v>
      </c>
      <c r="K20" s="9" t="n"/>
      <c r="L20" s="9" t="n"/>
      <c r="M20" s="9" t="n"/>
      <c r="N20" s="9" t="n"/>
      <c r="O20" s="9" t="n"/>
      <c r="P20" s="9" t="n"/>
      <c r="Q20" s="9" t="n"/>
      <c r="R20" s="9" t="n"/>
      <c r="S20" s="18">
        <f>MAX(0,IF(C20="",$B$4,MIN($B$4,C20))-0)*D20+MAX(0,IF(E20="",$B$4,MIN($B$4,E20))-C20)*F20+MAX(0,IF(G20="",$B$4,MIN($B$4,G20))-E20)*H20+MAX(0,IF(I20="",$B$4,MIN($B$4,I20))-G20)*J20</f>
        <v/>
      </c>
      <c r="T20" s="18">
        <f>-B20*D20</f>
        <v/>
      </c>
      <c r="U20" s="18" t="n">
        <v>0</v>
      </c>
      <c r="V20" s="21">
        <f>MAX(0,ROUND(S20+T20,0))</f>
        <v/>
      </c>
      <c r="W20" s="18">
        <f>IFERROR(INDEX(Z20:AC20,MATCH($B$4,$Z$8:$AC$8,0)),"—")</f>
        <v/>
      </c>
      <c r="X20" s="22">
        <f>IF(ISNUMBER(W20),V20-W20,"")</f>
        <v/>
      </c>
      <c r="Y20" s="23" t="inlineStr"/>
      <c r="Z20" s="24" t="n">
        <v>3000</v>
      </c>
      <c r="AA20" s="24" t="n">
        <v>8987</v>
      </c>
      <c r="AB20" s="24" t="n">
        <v>20620</v>
      </c>
      <c r="AC20" s="24" t="n">
        <v>51520</v>
      </c>
    </row>
    <row r="21">
      <c r="A21" s="12" t="inlineStr">
        <is>
          <t>Saskatchewan (SK)</t>
        </is>
      </c>
      <c r="B21" s="18" t="n">
        <v>19491</v>
      </c>
      <c r="C21" s="19" t="n">
        <v>53463</v>
      </c>
      <c r="D21" s="20" t="n">
        <v>0.105</v>
      </c>
      <c r="E21" s="19" t="n">
        <v>152750</v>
      </c>
      <c r="F21" s="20" t="n">
        <v>0.125</v>
      </c>
      <c r="G21" s="19" t="n"/>
      <c r="H21" s="20" t="n">
        <v>0.145</v>
      </c>
      <c r="I21" s="9" t="n"/>
      <c r="J21" s="9" t="n"/>
      <c r="K21" s="9" t="n"/>
      <c r="L21" s="9" t="n"/>
      <c r="M21" s="9" t="n"/>
      <c r="N21" s="9" t="n"/>
      <c r="O21" s="9" t="n"/>
      <c r="P21" s="9" t="n"/>
      <c r="Q21" s="9" t="n"/>
      <c r="R21" s="9" t="n"/>
      <c r="S21" s="18">
        <f>MAX(0,IF(C21="",$B$4,MIN($B$4,C21))-0)*D21+MAX(0,IF(E21="",$B$4,MIN($B$4,E21))-C21)*F21+MAX(0,IF(G21="",$B$4,MIN($B$4,G21))-E21)*H21</f>
        <v/>
      </c>
      <c r="T21" s="18">
        <f>-B21*D21</f>
        <v/>
      </c>
      <c r="U21" s="18" t="n">
        <v>0</v>
      </c>
      <c r="V21" s="21">
        <f>MAX(0,ROUND(S21+T21,0))</f>
        <v/>
      </c>
      <c r="W21" s="18">
        <f>IFERROR(INDEX(Z21:AC21,MATCH($B$4,$Z$8:$AC$8,0)),"—")</f>
        <v/>
      </c>
      <c r="X21" s="22">
        <f>IF(ISNUMBER(W21),V21-W21,"")</f>
        <v/>
      </c>
      <c r="Y21" s="23" t="inlineStr"/>
      <c r="Z21" s="24" t="n">
        <v>2153</v>
      </c>
      <c r="AA21" s="24" t="n">
        <v>6259</v>
      </c>
      <c r="AB21" s="24" t="n">
        <v>13134</v>
      </c>
      <c r="AC21" s="24" t="n">
        <v>30079</v>
      </c>
    </row>
    <row r="22">
      <c r="A22" s="12" t="inlineStr">
        <is>
          <t>Yukon (YT)</t>
        </is>
      </c>
      <c r="B22" s="18" t="n">
        <v>16129</v>
      </c>
      <c r="C22" s="19" t="n">
        <v>57375</v>
      </c>
      <c r="D22" s="20" t="n">
        <v>0.064</v>
      </c>
      <c r="E22" s="19" t="n">
        <v>114750</v>
      </c>
      <c r="F22" s="20" t="n">
        <v>0.09</v>
      </c>
      <c r="G22" s="19" t="n">
        <v>177882</v>
      </c>
      <c r="H22" s="20" t="n">
        <v>0.109</v>
      </c>
      <c r="I22" s="19" t="n">
        <v>500000</v>
      </c>
      <c r="J22" s="20" t="n">
        <v>0.128</v>
      </c>
      <c r="K22" s="19" t="n"/>
      <c r="L22" s="20" t="n">
        <v>0.15</v>
      </c>
      <c r="M22" s="9" t="n"/>
      <c r="N22" s="9" t="n"/>
      <c r="O22" s="9" t="n"/>
      <c r="P22" s="9" t="n"/>
      <c r="Q22" s="9" t="n"/>
      <c r="R22" s="9" t="n"/>
      <c r="S22" s="18">
        <f>MAX(0,IF(C22="",$B$4,MIN($B$4,C22))-0)*D22+MAX(0,IF(E22="",$B$4,MIN($B$4,E22))-C22)*F22+MAX(0,IF(G22="",$B$4,MIN($B$4,G22))-E22)*H22+MAX(0,IF(I22="",$B$4,MIN($B$4,I22))-G22)*J22+MAX(0,IF(K22="",$B$4,MIN($B$4,K22))-I22)*L22</f>
        <v/>
      </c>
      <c r="T22" s="18">
        <f>-B22*D22</f>
        <v/>
      </c>
      <c r="U22" s="18" t="n">
        <v>0</v>
      </c>
      <c r="V22" s="21">
        <f>MAX(0,ROUND(S22+T22,0))</f>
        <v/>
      </c>
      <c r="W22" s="18">
        <f>IFERROR(INDEX(Z22:AC22,MATCH($B$4,$Z$8:$AC$8,0)),"—")</f>
        <v/>
      </c>
      <c r="X22" s="22">
        <f>IF(ISNUMBER(W22),V22-W22,"")</f>
        <v/>
      </c>
      <c r="Y22" s="23" t="inlineStr"/>
      <c r="Z22" s="24" t="n">
        <v>1528</v>
      </c>
      <c r="AA22" s="24" t="n">
        <v>4226</v>
      </c>
      <c r="AB22" s="24" t="n">
        <v>9466</v>
      </c>
      <c r="AC22" s="24" t="n">
        <v>23916</v>
      </c>
    </row>
    <row r="23">
      <c r="A23" s="25" t="inlineStr">
        <is>
          <t>Check</t>
        </is>
      </c>
      <c r="B23" s="26">
        <f>IF(COUNT(X9:X22)=0,"Exploring at an income the app was not sampled at — set the income cell to $40,000, $75,000, $130,000, $250,000 to compare against the app.",IF(MAX(MAX(X9:X22),-MIN(X9:X22))&lt;=1,"Every formula matches the app at this income (within $1 of rounding) — OK","A FORMULA DISAGREES WITH THE APP — see the Diff column"))</f>
        <v/>
      </c>
      <c r="C23" s="15" t="n"/>
      <c r="D23" s="15" t="n"/>
      <c r="E23" s="15" t="n"/>
      <c r="F23" s="15" t="n"/>
      <c r="G23" s="15" t="n"/>
      <c r="H23" s="15" t="n"/>
      <c r="I23" s="15" t="n"/>
      <c r="J23" s="15" t="n"/>
      <c r="K23" s="15" t="n"/>
      <c r="L23" s="15" t="n"/>
      <c r="M23" s="15" t="n"/>
      <c r="N23" s="15" t="n"/>
      <c r="O23" s="15" t="n"/>
      <c r="P23" s="15" t="n"/>
      <c r="Q23" s="15" t="n"/>
      <c r="R23" s="15" t="n"/>
      <c r="S23" s="15" t="n"/>
      <c r="T23" s="15" t="n"/>
      <c r="U23" s="15" t="n"/>
      <c r="V23" s="15" t="n"/>
      <c r="W23" s="15" t="n"/>
      <c r="X23" s="15" t="n"/>
      <c r="Y23" s="16" t="n"/>
    </row>
    <row r="25" ht="44" customHeight="1">
      <c r="A25" s="4" t="inlineStr">
        <is>
          <t>"App says" is what the tool itself reports — provincial tax, or federal tax on the first row. The app was sampled at $40,000, $75,000, $130,000, $250,000, so the comparison fills in whenever the income cell is set to one of those and shows "—" at any other income. Move the income freely: the check line above says which of the three states you are in, and only shouts when a formula and the app genuinely disagree at an income where both are defined.</t>
        </is>
      </c>
    </row>
    <row r="27">
      <c r="A27" s="3" t="inlineStr">
        <is>
          <t>Quebec federal abatement</t>
        </is>
      </c>
    </row>
    <row r="28">
      <c r="A28" s="12" t="inlineStr">
        <is>
          <t>Federal tax before abatement</t>
        </is>
      </c>
      <c r="B28" s="18">
        <f>V9</f>
        <v/>
      </c>
      <c r="C28" s="14" t="inlineStr">
        <is>
          <t>less 16.5%, Quebec only</t>
        </is>
      </c>
      <c r="D28" s="15" t="n"/>
      <c r="E28" s="16" t="n"/>
    </row>
    <row r="29">
      <c r="A29" s="12" t="inlineStr">
        <is>
          <t>Federal tax after abatement</t>
        </is>
      </c>
      <c r="B29" s="21">
        <f>ROUND(B28*(1-0.165),0)</f>
        <v/>
      </c>
      <c r="C29" s="18">
        <f>IFERROR(INDEX(Z29:AC29,MATCH($B$4,$Z$8:$AC$8,0)),"—")</f>
        <v/>
      </c>
      <c r="D29" s="26">
        <f>IF(NOT(ISNUMBER(C29)),"Set the income to an anchor value to compare.",IF(B29=C29,"matches the app — OK","DISAGREES WITH THE APP"))</f>
        <v/>
      </c>
      <c r="E29" s="15" t="n"/>
      <c r="F29" s="15" t="n"/>
      <c r="G29" s="15" t="n"/>
      <c r="H29" s="16" t="n"/>
      <c r="Z29" s="24" t="n">
        <v>2890</v>
      </c>
      <c r="AA29" s="24" t="n">
        <v>8011</v>
      </c>
      <c r="AB29" s="24" t="n">
        <v>18126</v>
      </c>
      <c r="AC29" s="24" t="n">
        <v>45984</v>
      </c>
    </row>
    <row r="30" ht="40" customHeight="1">
      <c r="A30" s="4" t="inlineStr">
        <is>
          <t>Quebec operates its own tax system, and Ottawa returns 16.5% of net federal tax to compensate for the tax room Quebec occupies. It reduces federal tax, not provincial, which is why it does not appear in the grid above. The comparison holds only when the income cell is $130,000.</t>
        </is>
      </c>
    </row>
    <row r="32">
      <c r="A32" s="3" t="inlineStr">
        <is>
          <t>Rates the tool produces, against published 2025 figures</t>
        </is>
      </c>
    </row>
    <row r="33" ht="28" customHeight="1">
      <c r="A33" s="8" t="inlineStr">
        <is>
          <t>Jurisdiction</t>
        </is>
      </c>
      <c r="B33" s="8" t="inlineStr">
        <is>
          <t>Total tax @ $130k</t>
        </is>
      </c>
      <c r="C33" s="8" t="inlineStr">
        <is>
          <t>Effective rate</t>
        </is>
      </c>
      <c r="D33" s="8" t="inlineStr">
        <is>
          <t>Marginal rate</t>
        </is>
      </c>
      <c r="E33" s="8" t="inlineStr">
        <is>
          <t>Published marginal</t>
        </is>
      </c>
      <c r="F33" s="8" t="inlineStr">
        <is>
          <t>Match?</t>
        </is>
      </c>
      <c r="G33" s="8" t="inlineStr"/>
      <c r="H33" s="8" t="inlineStr"/>
      <c r="I33" s="8" t="inlineStr"/>
      <c r="J33" s="8" t="inlineStr"/>
      <c r="K33" s="8" t="inlineStr"/>
      <c r="L33" s="8" t="inlineStr"/>
      <c r="M33" s="8" t="inlineStr"/>
      <c r="N33" s="8" t="inlineStr"/>
      <c r="O33" s="8" t="inlineStr"/>
      <c r="P33" s="8" t="inlineStr"/>
      <c r="Q33" s="8" t="inlineStr"/>
      <c r="R33" s="8" t="inlineStr"/>
      <c r="S33" s="8" t="inlineStr"/>
      <c r="T33" s="8" t="inlineStr"/>
      <c r="U33" s="8" t="inlineStr"/>
      <c r="V33" s="8" t="inlineStr"/>
      <c r="W33" s="8" t="inlineStr"/>
      <c r="X33" s="8" t="inlineStr"/>
      <c r="Y33" s="8" t="inlineStr"/>
    </row>
    <row r="34">
      <c r="A34" s="9" t="inlineStr">
        <is>
          <t>Alberta (AB)</t>
        </is>
      </c>
      <c r="B34" s="18" t="n">
        <v>31722</v>
      </c>
      <c r="C34" s="27">
        <f>B34/$B$4</f>
        <v/>
      </c>
      <c r="D34" s="28" t="n">
        <v>36</v>
      </c>
      <c r="E34" s="23" t="inlineStr"/>
      <c r="F34" s="23" t="inlineStr"/>
      <c r="G34" s="7" t="n"/>
      <c r="H34" s="7" t="n"/>
      <c r="I34" s="7" t="n"/>
      <c r="J34" s="7" t="n"/>
      <c r="K34" s="7" t="n"/>
      <c r="L34" s="7" t="n"/>
      <c r="M34" s="7" t="n"/>
      <c r="N34" s="7" t="n"/>
      <c r="O34" s="7" t="n"/>
      <c r="P34" s="7" t="n"/>
      <c r="Q34" s="7" t="n"/>
      <c r="R34" s="7" t="n"/>
      <c r="S34" s="7" t="n"/>
      <c r="T34" s="7" t="n"/>
      <c r="U34" s="7" t="n"/>
      <c r="V34" s="7" t="n"/>
      <c r="W34" s="7" t="n"/>
      <c r="X34" s="7" t="n"/>
      <c r="Y34" s="7" t="n"/>
    </row>
    <row r="35">
      <c r="A35" s="9" t="inlineStr">
        <is>
          <t>British Columbia (BC)</t>
        </is>
      </c>
      <c r="B35" s="18" t="n">
        <v>30944</v>
      </c>
      <c r="C35" s="27">
        <f>B35/$B$4</f>
        <v/>
      </c>
      <c r="D35" s="28" t="n">
        <v>38.29</v>
      </c>
      <c r="E35" s="23" t="inlineStr"/>
      <c r="F35" s="23" t="inlineStr"/>
      <c r="G35" s="7" t="n"/>
      <c r="H35" s="7" t="n"/>
      <c r="I35" s="7" t="n"/>
      <c r="J35" s="7" t="n"/>
      <c r="K35" s="7" t="n"/>
      <c r="L35" s="7" t="n"/>
      <c r="M35" s="7" t="n"/>
      <c r="N35" s="7" t="n"/>
      <c r="O35" s="7" t="n"/>
      <c r="P35" s="7" t="n"/>
      <c r="Q35" s="7" t="n"/>
      <c r="R35" s="7" t="n"/>
      <c r="S35" s="7" t="n"/>
      <c r="T35" s="7" t="n"/>
      <c r="U35" s="7" t="n"/>
      <c r="V35" s="7" t="n"/>
      <c r="W35" s="7" t="n"/>
      <c r="X35" s="7" t="n"/>
      <c r="Y35" s="7" t="n"/>
    </row>
    <row r="36">
      <c r="A36" s="9" t="inlineStr">
        <is>
          <t>Manitoba (MB)</t>
        </is>
      </c>
      <c r="B36" s="18" t="n">
        <v>37057</v>
      </c>
      <c r="C36" s="27">
        <f>B36/$B$4</f>
        <v/>
      </c>
      <c r="D36" s="28" t="n">
        <v>43.4</v>
      </c>
      <c r="E36" s="23" t="inlineStr"/>
      <c r="F36" s="23" t="inlineStr"/>
      <c r="G36" s="7" t="n"/>
      <c r="H36" s="7" t="n"/>
      <c r="I36" s="7" t="n"/>
      <c r="J36" s="7" t="n"/>
      <c r="K36" s="7" t="n"/>
      <c r="L36" s="7" t="n"/>
      <c r="M36" s="7" t="n"/>
      <c r="N36" s="7" t="n"/>
      <c r="O36" s="7" t="n"/>
      <c r="P36" s="7" t="n"/>
      <c r="Q36" s="7" t="n"/>
      <c r="R36" s="7" t="n"/>
      <c r="S36" s="7" t="n"/>
      <c r="T36" s="7" t="n"/>
      <c r="U36" s="7" t="n"/>
      <c r="V36" s="7" t="n"/>
      <c r="W36" s="7" t="n"/>
      <c r="X36" s="7" t="n"/>
      <c r="Y36" s="7" t="n"/>
    </row>
    <row r="37">
      <c r="A37" s="9" t="inlineStr">
        <is>
          <t>New Brunswick (NB)</t>
        </is>
      </c>
      <c r="B37" s="18" t="n">
        <v>36836</v>
      </c>
      <c r="C37" s="27">
        <f>B37/$B$4</f>
        <v/>
      </c>
      <c r="D37" s="28" t="n">
        <v>42</v>
      </c>
      <c r="E37" s="23" t="inlineStr"/>
      <c r="F37" s="23" t="inlineStr"/>
      <c r="G37" s="7" t="n"/>
      <c r="H37" s="7" t="n"/>
      <c r="I37" s="7" t="n"/>
      <c r="J37" s="7" t="n"/>
      <c r="K37" s="7" t="n"/>
      <c r="L37" s="7" t="n"/>
      <c r="M37" s="7" t="n"/>
      <c r="N37" s="7" t="n"/>
      <c r="O37" s="7" t="n"/>
      <c r="P37" s="7" t="n"/>
      <c r="Q37" s="7" t="n"/>
      <c r="R37" s="7" t="n"/>
      <c r="S37" s="7" t="n"/>
      <c r="T37" s="7" t="n"/>
      <c r="U37" s="7" t="n"/>
      <c r="V37" s="7" t="n"/>
      <c r="W37" s="7" t="n"/>
      <c r="X37" s="7" t="n"/>
      <c r="Y37" s="7" t="n"/>
    </row>
    <row r="38">
      <c r="A38" s="9" t="inlineStr">
        <is>
          <t>Newfoundland and Labrador (NL)</t>
        </is>
      </c>
      <c r="B38" s="18" t="n">
        <v>37573</v>
      </c>
      <c r="C38" s="27">
        <f>B38/$B$4</f>
        <v/>
      </c>
      <c r="D38" s="28" t="n">
        <v>41.8</v>
      </c>
      <c r="E38" s="23" t="inlineStr"/>
      <c r="F38" s="23" t="inlineStr"/>
      <c r="G38" s="7" t="n"/>
      <c r="H38" s="7" t="n"/>
      <c r="I38" s="7" t="n"/>
      <c r="J38" s="7" t="n"/>
      <c r="K38" s="7" t="n"/>
      <c r="L38" s="7" t="n"/>
      <c r="M38" s="7" t="n"/>
      <c r="N38" s="7" t="n"/>
      <c r="O38" s="7" t="n"/>
      <c r="P38" s="7" t="n"/>
      <c r="Q38" s="7" t="n"/>
      <c r="R38" s="7" t="n"/>
      <c r="S38" s="7" t="n"/>
      <c r="T38" s="7" t="n"/>
      <c r="U38" s="7" t="n"/>
      <c r="V38" s="7" t="n"/>
      <c r="W38" s="7" t="n"/>
      <c r="X38" s="7" t="n"/>
      <c r="Y38" s="7" t="n"/>
    </row>
    <row r="39">
      <c r="A39" s="9" t="inlineStr">
        <is>
          <t>Nova Scotia (NS)</t>
        </is>
      </c>
      <c r="B39" s="18" t="n">
        <v>39701</v>
      </c>
      <c r="C39" s="27">
        <f>B39/$B$4</f>
        <v/>
      </c>
      <c r="D39" s="28" t="n">
        <v>43.5</v>
      </c>
      <c r="E39" s="23" t="inlineStr"/>
      <c r="F39" s="23" t="inlineStr"/>
      <c r="G39" s="7" t="n"/>
      <c r="H39" s="7" t="n"/>
      <c r="I39" s="7" t="n"/>
      <c r="J39" s="7" t="n"/>
      <c r="K39" s="7" t="n"/>
      <c r="L39" s="7" t="n"/>
      <c r="M39" s="7" t="n"/>
      <c r="N39" s="7" t="n"/>
      <c r="O39" s="7" t="n"/>
      <c r="P39" s="7" t="n"/>
      <c r="Q39" s="7" t="n"/>
      <c r="R39" s="7" t="n"/>
      <c r="S39" s="7" t="n"/>
      <c r="T39" s="7" t="n"/>
      <c r="U39" s="7" t="n"/>
      <c r="V39" s="7" t="n"/>
      <c r="W39" s="7" t="n"/>
      <c r="X39" s="7" t="n"/>
      <c r="Y39" s="7" t="n"/>
    </row>
    <row r="40">
      <c r="A40" s="9" t="inlineStr">
        <is>
          <t>Northwest Territories (NT)</t>
        </is>
      </c>
      <c r="B40" s="18" t="n">
        <v>31371</v>
      </c>
      <c r="C40" s="27">
        <f>B40/$B$4</f>
        <v/>
      </c>
      <c r="D40" s="28" t="n">
        <v>38.2</v>
      </c>
      <c r="E40" s="23" t="inlineStr"/>
      <c r="F40" s="23" t="inlineStr"/>
      <c r="G40" s="7" t="n"/>
      <c r="H40" s="7" t="n"/>
      <c r="I40" s="7" t="n"/>
      <c r="J40" s="7" t="n"/>
      <c r="K40" s="7" t="n"/>
      <c r="L40" s="7" t="n"/>
      <c r="M40" s="7" t="n"/>
      <c r="N40" s="7" t="n"/>
      <c r="O40" s="7" t="n"/>
      <c r="P40" s="7" t="n"/>
      <c r="Q40" s="7" t="n"/>
      <c r="R40" s="7" t="n"/>
      <c r="S40" s="7" t="n"/>
      <c r="T40" s="7" t="n"/>
      <c r="U40" s="7" t="n"/>
      <c r="V40" s="7" t="n"/>
      <c r="W40" s="7" t="n"/>
      <c r="X40" s="7" t="n"/>
      <c r="Y40" s="7" t="n"/>
    </row>
    <row r="41">
      <c r="A41" s="9" t="inlineStr">
        <is>
          <t>Nunavut (NU)</t>
        </is>
      </c>
      <c r="B41" s="18" t="n">
        <v>28808</v>
      </c>
      <c r="C41" s="27">
        <f>B41/$B$4</f>
        <v/>
      </c>
      <c r="D41" s="28" t="n">
        <v>35</v>
      </c>
      <c r="E41" s="23" t="inlineStr"/>
      <c r="F41" s="23" t="inlineStr"/>
      <c r="G41" s="7" t="n"/>
      <c r="H41" s="7" t="n"/>
      <c r="I41" s="7" t="n"/>
      <c r="J41" s="7" t="n"/>
      <c r="K41" s="7" t="n"/>
      <c r="L41" s="7" t="n"/>
      <c r="M41" s="7" t="n"/>
      <c r="N41" s="7" t="n"/>
      <c r="O41" s="7" t="n"/>
      <c r="P41" s="7" t="n"/>
      <c r="Q41" s="7" t="n"/>
      <c r="R41" s="7" t="n"/>
      <c r="S41" s="7" t="n"/>
      <c r="T41" s="7" t="n"/>
      <c r="U41" s="7" t="n"/>
      <c r="V41" s="7" t="n"/>
      <c r="W41" s="7" t="n"/>
      <c r="X41" s="7" t="n"/>
      <c r="Y41" s="7" t="n"/>
    </row>
    <row r="42">
      <c r="A42" s="9" t="inlineStr">
        <is>
          <t>Ontario (ON)</t>
        </is>
      </c>
      <c r="B42" s="18" t="n">
        <v>33615</v>
      </c>
      <c r="C42" s="27">
        <f>B42/$B$4</f>
        <v/>
      </c>
      <c r="D42" s="28" t="n">
        <v>43.41</v>
      </c>
      <c r="E42" s="23" t="inlineStr"/>
      <c r="F42" s="23" t="inlineStr"/>
      <c r="G42" s="7" t="n"/>
      <c r="H42" s="7" t="n"/>
      <c r="I42" s="7" t="n"/>
      <c r="J42" s="7" t="n"/>
      <c r="K42" s="7" t="n"/>
      <c r="L42" s="7" t="n"/>
      <c r="M42" s="7" t="n"/>
      <c r="N42" s="7" t="n"/>
      <c r="O42" s="7" t="n"/>
      <c r="P42" s="7" t="n"/>
      <c r="Q42" s="7" t="n"/>
      <c r="R42" s="7" t="n"/>
      <c r="S42" s="7" t="n"/>
      <c r="T42" s="7" t="n"/>
      <c r="U42" s="7" t="n"/>
      <c r="V42" s="7" t="n"/>
      <c r="W42" s="7" t="n"/>
      <c r="X42" s="7" t="n"/>
      <c r="Y42" s="7" t="n"/>
    </row>
    <row r="43">
      <c r="A43" s="9" t="inlineStr">
        <is>
          <t>Prince Edward Island (PE)</t>
        </is>
      </c>
      <c r="B43" s="18" t="n">
        <v>38804</v>
      </c>
      <c r="C43" s="27">
        <f>B43/$B$4</f>
        <v/>
      </c>
      <c r="D43" s="28" t="n">
        <v>43.62</v>
      </c>
      <c r="E43" s="23" t="inlineStr"/>
      <c r="F43" s="23" t="inlineStr"/>
      <c r="G43" s="7" t="n"/>
      <c r="H43" s="7" t="n"/>
      <c r="I43" s="7" t="n"/>
      <c r="J43" s="7" t="n"/>
      <c r="K43" s="7" t="n"/>
      <c r="L43" s="7" t="n"/>
      <c r="M43" s="7" t="n"/>
      <c r="N43" s="7" t="n"/>
      <c r="O43" s="7" t="n"/>
      <c r="P43" s="7" t="n"/>
      <c r="Q43" s="7" t="n"/>
      <c r="R43" s="7" t="n"/>
      <c r="S43" s="7" t="n"/>
      <c r="T43" s="7" t="n"/>
      <c r="U43" s="7" t="n"/>
      <c r="V43" s="7" t="n"/>
      <c r="W43" s="7" t="n"/>
      <c r="X43" s="7" t="n"/>
      <c r="Y43" s="7" t="n"/>
    </row>
    <row r="44">
      <c r="A44" s="9" t="inlineStr">
        <is>
          <t>Quebec (QC)</t>
        </is>
      </c>
      <c r="B44" s="18" t="n">
        <v>38746</v>
      </c>
      <c r="C44" s="27">
        <f>B44/$B$4</f>
        <v/>
      </c>
      <c r="D44" s="28" t="n">
        <v>47.46</v>
      </c>
      <c r="E44" s="23" t="inlineStr"/>
      <c r="F44" s="23" t="inlineStr"/>
      <c r="G44" s="7" t="n"/>
      <c r="H44" s="7" t="n"/>
      <c r="I44" s="7" t="n"/>
      <c r="J44" s="7" t="n"/>
      <c r="K44" s="7" t="n"/>
      <c r="L44" s="7" t="n"/>
      <c r="M44" s="7" t="n"/>
      <c r="N44" s="7" t="n"/>
      <c r="O44" s="7" t="n"/>
      <c r="P44" s="7" t="n"/>
      <c r="Q44" s="7" t="n"/>
      <c r="R44" s="7" t="n"/>
      <c r="S44" s="7" t="n"/>
      <c r="T44" s="7" t="n"/>
      <c r="U44" s="7" t="n"/>
      <c r="V44" s="7" t="n"/>
      <c r="W44" s="7" t="n"/>
      <c r="X44" s="7" t="n"/>
      <c r="Y44" s="7" t="n"/>
    </row>
    <row r="45">
      <c r="A45" s="9" t="inlineStr">
        <is>
          <t>Saskatchewan (SK)</t>
        </is>
      </c>
      <c r="B45" s="18" t="n">
        <v>34842</v>
      </c>
      <c r="C45" s="27">
        <f>B45/$B$4</f>
        <v/>
      </c>
      <c r="D45" s="28" t="n">
        <v>38.5</v>
      </c>
      <c r="E45" s="23" t="inlineStr"/>
      <c r="F45" s="23" t="inlineStr"/>
      <c r="G45" s="7" t="n"/>
      <c r="H45" s="7" t="n"/>
      <c r="I45" s="7" t="n"/>
      <c r="J45" s="7" t="n"/>
      <c r="K45" s="7" t="n"/>
      <c r="L45" s="7" t="n"/>
      <c r="M45" s="7" t="n"/>
      <c r="N45" s="7" t="n"/>
      <c r="O45" s="7" t="n"/>
      <c r="P45" s="7" t="n"/>
      <c r="Q45" s="7" t="n"/>
      <c r="R45" s="7" t="n"/>
      <c r="S45" s="7" t="n"/>
      <c r="T45" s="7" t="n"/>
      <c r="U45" s="7" t="n"/>
      <c r="V45" s="7" t="n"/>
      <c r="W45" s="7" t="n"/>
      <c r="X45" s="7" t="n"/>
      <c r="Y45" s="7" t="n"/>
    </row>
    <row r="46">
      <c r="A46" s="9" t="inlineStr">
        <is>
          <t>Yukon (YT)</t>
        </is>
      </c>
      <c r="B46" s="18" t="n">
        <v>31174</v>
      </c>
      <c r="C46" s="27">
        <f>B46/$B$4</f>
        <v/>
      </c>
      <c r="D46" s="28" t="n">
        <v>36.9</v>
      </c>
      <c r="E46" s="23" t="inlineStr"/>
      <c r="F46" s="23" t="inlineStr"/>
      <c r="G46" s="7" t="n"/>
      <c r="H46" s="7" t="n"/>
      <c r="I46" s="7" t="n"/>
      <c r="J46" s="7" t="n"/>
      <c r="K46" s="7" t="n"/>
      <c r="L46" s="7" t="n"/>
      <c r="M46" s="7" t="n"/>
      <c r="N46" s="7" t="n"/>
      <c r="O46" s="7" t="n"/>
      <c r="P46" s="7" t="n"/>
      <c r="Q46" s="7" t="n"/>
      <c r="R46" s="7" t="n"/>
      <c r="S46" s="7" t="n"/>
      <c r="T46" s="7" t="n"/>
      <c r="U46" s="7" t="n"/>
      <c r="V46" s="7" t="n"/>
      <c r="W46" s="7" t="n"/>
      <c r="X46" s="7" t="n"/>
      <c r="Y46" s="7" t="n"/>
    </row>
    <row r="48" ht="46" customHeight="1">
      <c r="A48" s="29" t="inlineStr">
        <is>
          <t>Columns E and F are left blank on purpose — if you have a marginal rate table to hand, that is the fastest independent check in this workbook. For reference, all 13 top combined rates were checked against published 2025 figures and matched, including Newfoundland at 54.80% (which applies only above $1,128,858) and PEI at 52.00% for 2025.</t>
        </is>
      </c>
      <c r="B48" s="30" t="n"/>
      <c r="C48" s="30" t="n"/>
      <c r="D48" s="30" t="n"/>
      <c r="E48" s="30" t="n"/>
      <c r="F48" s="30" t="n"/>
      <c r="G48" s="30" t="n"/>
      <c r="H48" s="30" t="n"/>
      <c r="I48" s="30" t="n"/>
      <c r="J48" s="30" t="n"/>
      <c r="K48" s="30" t="n"/>
      <c r="L48" s="30" t="n"/>
      <c r="M48" s="30" t="n"/>
      <c r="N48" s="30" t="n"/>
      <c r="O48" s="30" t="n"/>
      <c r="P48" s="30" t="n"/>
      <c r="Q48" s="30" t="n"/>
      <c r="R48" s="30" t="n"/>
      <c r="S48" s="30" t="n"/>
      <c r="T48" s="30" t="n"/>
      <c r="U48" s="30" t="n"/>
      <c r="V48" s="30" t="n"/>
      <c r="W48" s="30" t="n"/>
      <c r="X48" s="30" t="n"/>
      <c r="Y48" s="30" t="n"/>
    </row>
  </sheetData>
  <mergeCells count="12">
    <mergeCell ref="A25:Y25"/>
    <mergeCell ref="A2:Y2"/>
    <mergeCell ref="C28:E28"/>
    <mergeCell ref="A32:Y32"/>
    <mergeCell ref="C4:Y4"/>
    <mergeCell ref="A1:Y1"/>
    <mergeCell ref="D29:H29"/>
    <mergeCell ref="A27:Y27"/>
    <mergeCell ref="A6:Y6"/>
    <mergeCell ref="B23:Y23"/>
    <mergeCell ref="A48:Y48"/>
    <mergeCell ref="A30:Y3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pane ySplit="2" topLeftCell="A3" activePane="bottomLeft" state="frozen"/>
      <selection pane="bottomLeft" activeCell="A1" sqref="A1"/>
    </sheetView>
  </sheetViews>
  <sheetFormatPr baseColWidth="8" defaultRowHeight="15"/>
  <cols>
    <col width="30" customWidth="1" min="1" max="1"/>
    <col width="15" customWidth="1" min="2" max="2"/>
    <col width="11" customWidth="1" min="3" max="3"/>
    <col width="11" customWidth="1" min="4" max="4"/>
    <col width="62" customWidth="1" min="5" max="5"/>
    <col width="30" customWidth="1" min="6" max="6"/>
  </cols>
  <sheetData>
    <row r="1" ht="30" customHeight="1">
      <c r="A1" s="1" t="inlineStr">
        <is>
          <t>Federal allocation — 2024–25 Public Accounts actuals</t>
        </is>
      </c>
    </row>
    <row r="2" ht="26" customHeight="1">
      <c r="A2" s="2" t="inlineStr">
        <is>
          <t>Each category traced to a printed line. T3.6 = external expenses by ministry segment, T3.7 = major transfer payments, T3.10 = expenditures under statutory authorities.</t>
        </is>
      </c>
    </row>
    <row r="4" ht="52" customHeight="1">
      <c r="A4" s="4" t="inlineStr">
        <is>
          <t>Denominator is total expenses excluding net actuarial losses, $543,279M. Transfers and debt are taken as program lines; the functional categories are ministry totals net of each ministry's own public debt charges. No ministry appears on both sides, so the two cuts cannot double-count. "Other" is the denominator less every named category — a residual, not a plug.</t>
        </is>
      </c>
    </row>
    <row r="6" ht="28" customHeight="1">
      <c r="A6" s="8" t="inlineStr">
        <is>
          <t>Category</t>
        </is>
      </c>
      <c r="B6" s="8" t="inlineStr">
        <is>
          <t>Amount ($M)</t>
        </is>
      </c>
      <c r="C6" s="8" t="inlineStr">
        <is>
          <t>Share</t>
        </is>
      </c>
      <c r="D6" s="8" t="inlineStr">
        <is>
          <t>Check</t>
        </is>
      </c>
      <c r="E6" s="8" t="inlineStr">
        <is>
          <t>Source line</t>
        </is>
      </c>
      <c r="F6" s="8" t="inlineStr">
        <is>
          <t>Your view</t>
        </is>
      </c>
    </row>
    <row r="7" ht="26" customHeight="1">
      <c r="A7" s="9" t="inlineStr">
        <is>
          <t>Canada Health Transfer</t>
        </is>
      </c>
      <c r="B7" s="19" t="n">
        <v>52070</v>
      </c>
      <c r="C7" s="28" t="n">
        <v>9.58</v>
      </c>
      <c r="D7" s="31">
        <f>B7/543279.0*100</f>
        <v/>
      </c>
      <c r="E7" s="11" t="inlineStr">
        <is>
          <t>Canada Health Transfer (T3.7)</t>
        </is>
      </c>
      <c r="F7" s="23" t="inlineStr"/>
    </row>
    <row r="8" ht="26" customHeight="1">
      <c r="A8" s="9" t="inlineStr">
        <is>
          <t>Direct Health Spending</t>
        </is>
      </c>
      <c r="B8" s="19" t="n">
        <v>14055</v>
      </c>
      <c r="C8" s="28" t="n">
        <v>2.59</v>
      </c>
      <c r="D8" s="31">
        <f>B8/543279.0*100</f>
        <v/>
      </c>
      <c r="E8" s="11" t="inlineStr">
        <is>
          <t>Health ministry: Health Canada, PHAC, CIHR (T3.6)</t>
        </is>
      </c>
      <c r="F8" s="23" t="inlineStr"/>
    </row>
    <row r="9" ht="26" customHeight="1">
      <c r="A9" s="9" t="inlineStr">
        <is>
          <t>Canada Social Transfer</t>
        </is>
      </c>
      <c r="B9" s="19" t="n">
        <v>16909</v>
      </c>
      <c r="C9" s="28" t="n">
        <v>3.11</v>
      </c>
      <c r="D9" s="31">
        <f>B9/543279.0*100</f>
        <v/>
      </c>
      <c r="E9" s="11" t="inlineStr">
        <is>
          <t>Canada Social Transfer (T3.7)</t>
        </is>
      </c>
      <c r="F9" s="23" t="inlineStr"/>
    </row>
    <row r="10" ht="26" customHeight="1">
      <c r="A10" s="9" t="inlineStr">
        <is>
          <t>Social Assistance &amp; Income Support</t>
        </is>
      </c>
      <c r="B10" s="19" t="n">
        <v>53454</v>
      </c>
      <c r="C10" s="28" t="n">
        <v>9.84</v>
      </c>
      <c r="D10" s="31">
        <f>B10/543279.0*100</f>
        <v/>
      </c>
      <c r="E10" s="11" t="inlineStr">
        <is>
          <t>Employment Insurance 24,880 + Canada Child Benefit 28,574 (T3.7)</t>
        </is>
      </c>
      <c r="F10" s="23" t="inlineStr"/>
    </row>
    <row r="11" ht="26" customHeight="1">
      <c r="A11" s="9" t="inlineStr">
        <is>
          <t>OAS &amp; Retirement</t>
        </is>
      </c>
      <c r="B11" s="19" t="n">
        <v>80294</v>
      </c>
      <c r="C11" s="28" t="n">
        <v>14.78</v>
      </c>
      <c r="D11" s="31">
        <f>B11/543279.0*100</f>
        <v/>
      </c>
      <c r="E11" s="11" t="inlineStr">
        <is>
          <t>Elderly benefits: OAS 60,648 + GIS 18,910 + Allowance 632 (T3.7/T3.10)</t>
        </is>
      </c>
      <c r="F11" s="23" t="inlineStr"/>
    </row>
    <row r="12" ht="26" customHeight="1">
      <c r="A12" s="9" t="inlineStr">
        <is>
          <t>Debt Servicing</t>
        </is>
      </c>
      <c r="B12" s="19" t="n">
        <v>53410</v>
      </c>
      <c r="C12" s="28" t="n">
        <v>9.83</v>
      </c>
      <c r="D12" s="31">
        <f>B12/543279.0*100</f>
        <v/>
      </c>
      <c r="E12" s="11" t="inlineStr">
        <is>
          <t>Public debt charges (T3.8)</t>
        </is>
      </c>
      <c r="F12" s="23" t="inlineStr"/>
    </row>
    <row r="13" ht="26" customHeight="1">
      <c r="A13" s="9" t="inlineStr">
        <is>
          <t>Fiscal Transfers to Provinces</t>
        </is>
      </c>
      <c r="B13" s="19" t="n">
        <v>30457</v>
      </c>
      <c r="C13" s="28" t="n">
        <v>5.61</v>
      </c>
      <c r="D13" s="31">
        <f>B13/543279.0*100</f>
        <v/>
      </c>
      <c r="E13" s="11" t="inlineStr">
        <is>
          <t>Fiscal arrangements: Equalization 25,253 + Territorial Financing 5,159 + other (T3.7)</t>
        </is>
      </c>
      <c r="F13" s="23" t="inlineStr"/>
    </row>
    <row r="14" ht="26" customHeight="1">
      <c r="A14" s="9" t="inlineStr">
        <is>
          <t>Government Administration</t>
        </is>
      </c>
      <c r="B14" s="19" t="n">
        <v>20378</v>
      </c>
      <c r="C14" s="28" t="n">
        <v>3.75</v>
      </c>
      <c r="D14" s="31">
        <f>B14/543279.0*100</f>
        <v/>
      </c>
      <c r="E14" s="11" t="inlineStr">
        <is>
          <t>Treasury Board + PSPC + Privy Council + Parliament + Governor General + Democratic Institutions (T3.6)</t>
        </is>
      </c>
      <c r="F14" s="23" t="inlineStr"/>
    </row>
    <row r="15" ht="26" customHeight="1">
      <c r="A15" s="9" t="inlineStr">
        <is>
          <t>Education</t>
        </is>
      </c>
      <c r="B15" s="19" t="n">
        <v>3783</v>
      </c>
      <c r="C15" s="28" t="n">
        <v>0.7</v>
      </c>
      <c r="D15" s="31">
        <f>B15/543279.0*100</f>
        <v/>
      </c>
      <c r="E15" s="11" t="inlineStr">
        <is>
          <t>Canada Student Grants + Canada Education Savings Grant (T3.10)</t>
        </is>
      </c>
      <c r="F15" s="23" t="inlineStr"/>
    </row>
    <row r="16" ht="26" customHeight="1">
      <c r="A16" s="9" t="inlineStr">
        <is>
          <t>Transportation &amp; Infra</t>
        </is>
      </c>
      <c r="B16" s="19" t="n">
        <v>5958</v>
      </c>
      <c r="C16" s="28" t="n">
        <v>1.1</v>
      </c>
      <c r="D16" s="31">
        <f>B16/543279.0*100</f>
        <v/>
      </c>
      <c r="E16" s="11" t="inlineStr">
        <is>
          <t>Transport ministry (T3.6)</t>
        </is>
      </c>
      <c r="F16" s="23" t="inlineStr"/>
    </row>
    <row r="17" ht="26" customHeight="1">
      <c r="A17" s="9" t="inlineStr">
        <is>
          <t>Indigenous Services</t>
        </is>
      </c>
      <c r="B17" s="19" t="n">
        <v>39349</v>
      </c>
      <c r="C17" s="28" t="n">
        <v>7.24</v>
      </c>
      <c r="D17" s="31">
        <f>B17/543279.0*100</f>
        <v/>
      </c>
      <c r="E17" s="11" t="inlineStr">
        <is>
          <t>Indigenous Services + Crown-Indigenous Relations and Northern Affairs (T3.6)</t>
        </is>
      </c>
      <c r="F17" s="23" t="inlineStr"/>
    </row>
    <row r="18" ht="26" customHeight="1">
      <c r="A18" s="9" t="inlineStr">
        <is>
          <t>Justice &amp; Public Safety</t>
        </is>
      </c>
      <c r="B18" s="19" t="n">
        <v>21233</v>
      </c>
      <c r="C18" s="28" t="n">
        <v>3.91</v>
      </c>
      <c r="D18" s="31">
        <f>B18/543279.0*100</f>
        <v/>
      </c>
      <c r="E18" s="11" t="inlineStr">
        <is>
          <t>Justice + Public Safety ministries (T3.6)</t>
        </is>
      </c>
      <c r="F18" s="23" t="inlineStr"/>
    </row>
    <row r="19" ht="26" customHeight="1">
      <c r="A19" s="9" t="inlineStr">
        <is>
          <t>National Defence</t>
        </is>
      </c>
      <c r="B19" s="19" t="n">
        <v>35963</v>
      </c>
      <c r="C19" s="28" t="n">
        <v>6.62</v>
      </c>
      <c r="D19" s="31">
        <f>B19/543279.0*100</f>
        <v/>
      </c>
      <c r="E19" s="11" t="inlineStr">
        <is>
          <t>National Defence ministry (T3.6)</t>
        </is>
      </c>
      <c r="F19" s="23" t="inlineStr"/>
    </row>
    <row r="20" ht="26" customHeight="1">
      <c r="A20" s="9" t="inlineStr">
        <is>
          <t>Housing &amp; Communities</t>
        </is>
      </c>
      <c r="B20" s="19" t="n">
        <v>14042</v>
      </c>
      <c r="C20" s="28" t="n">
        <v>2.58</v>
      </c>
      <c r="D20" s="31">
        <f>B20/543279.0*100</f>
        <v/>
      </c>
      <c r="E20" s="11" t="inlineStr">
        <is>
          <t>Housing, Infrastructure and Communities ministry (T3.6)</t>
        </is>
      </c>
      <c r="F20" s="23" t="inlineStr"/>
    </row>
    <row r="21" ht="26" customHeight="1">
      <c r="A21" s="9" t="inlineStr">
        <is>
          <t>Environment &amp; Climate</t>
        </is>
      </c>
      <c r="B21" s="19" t="n">
        <v>3102</v>
      </c>
      <c r="C21" s="28" t="n">
        <v>0.57</v>
      </c>
      <c r="D21" s="31">
        <f>B21/543279.0*100</f>
        <v/>
      </c>
      <c r="E21" s="11" t="inlineStr">
        <is>
          <t>Environment and Climate Change ministry (T3.6)</t>
        </is>
      </c>
      <c r="F21" s="23" t="inlineStr"/>
    </row>
    <row r="22" ht="26" customHeight="1">
      <c r="A22" s="9" t="inlineStr">
        <is>
          <t>Carbon Price Rebates</t>
        </is>
      </c>
      <c r="B22" s="19" t="n">
        <v>15233</v>
      </c>
      <c r="C22" s="28" t="n">
        <v>2.8</v>
      </c>
      <c r="D22" s="31">
        <f>B22/543279.0*100</f>
        <v/>
      </c>
      <c r="E22" s="11" t="inlineStr">
        <is>
          <t>Climate action incentive 12,664 + fuel charge returned to small business 2,569 (T3.10)</t>
        </is>
      </c>
      <c r="F22" s="23" t="inlineStr"/>
    </row>
    <row r="23" ht="26" customHeight="1">
      <c r="A23" s="9" t="inlineStr">
        <is>
          <t>Science &amp; Innovation</t>
        </is>
      </c>
      <c r="B23" s="19" t="n">
        <v>11876</v>
      </c>
      <c r="C23" s="28" t="n">
        <v>2.18</v>
      </c>
      <c r="D23" s="31">
        <f>B23/543279.0*100</f>
        <v/>
      </c>
      <c r="E23" s="11" t="inlineStr">
        <is>
          <t>Innovation, Science and Industry ministry (T3.6)</t>
        </is>
      </c>
      <c r="F23" s="23" t="inlineStr"/>
    </row>
    <row r="24" ht="26" customHeight="1">
      <c r="A24" s="9" t="inlineStr">
        <is>
          <t>International Development</t>
        </is>
      </c>
      <c r="B24" s="19" t="n">
        <v>6232</v>
      </c>
      <c r="C24" s="28" t="n">
        <v>1.15</v>
      </c>
      <c r="D24" s="31">
        <f>B24/543279.0*100</f>
        <v/>
      </c>
      <c r="E24" s="11" t="inlineStr">
        <is>
          <t>Global Affairs transfer payments only (T3.6); diplomatic and consular operations fall to Other</t>
        </is>
      </c>
      <c r="F24" s="23" t="inlineStr"/>
    </row>
    <row r="25" ht="26" customHeight="1">
      <c r="A25" s="9" t="inlineStr">
        <is>
          <t>Immigration &amp; Settlement</t>
        </is>
      </c>
      <c r="B25" s="19" t="n">
        <v>7326</v>
      </c>
      <c r="C25" s="28" t="n">
        <v>1.35</v>
      </c>
      <c r="D25" s="31">
        <f>B25/543279.0*100</f>
        <v/>
      </c>
      <c r="E25" s="11" t="inlineStr">
        <is>
          <t>Immigration, Refugees and Citizenship ministry (T3.6)</t>
        </is>
      </c>
      <c r="F25" s="23" t="inlineStr"/>
    </row>
    <row r="26" ht="26" customHeight="1">
      <c r="A26" s="9" t="inlineStr">
        <is>
          <t>Agriculture &amp; Food</t>
        </is>
      </c>
      <c r="B26" s="19" t="n">
        <v>3953</v>
      </c>
      <c r="C26" s="28" t="n">
        <v>0.73</v>
      </c>
      <c r="D26" s="31">
        <f>B26/543279.0*100</f>
        <v/>
      </c>
      <c r="E26" s="11" t="inlineStr">
        <is>
          <t>Agriculture and Agri-Food ministry (T3.6)</t>
        </is>
      </c>
      <c r="F26" s="23" t="inlineStr"/>
    </row>
    <row r="27" ht="26" customHeight="1">
      <c r="A27" s="9" t="inlineStr">
        <is>
          <t>Veterans Affairs</t>
        </is>
      </c>
      <c r="B27" s="19" t="n">
        <v>7209</v>
      </c>
      <c r="C27" s="28" t="n">
        <v>1.33</v>
      </c>
      <c r="D27" s="31">
        <f>B27/543279.0*100</f>
        <v/>
      </c>
      <c r="E27" s="11" t="inlineStr">
        <is>
          <t>Veterans Affairs departmental financial statements, total expenses (accrual)</t>
        </is>
      </c>
      <c r="F27" s="23" t="inlineStr"/>
    </row>
    <row r="28" ht="26" customHeight="1">
      <c r="A28" s="12" t="inlineStr">
        <is>
          <t>Other</t>
        </is>
      </c>
      <c r="B28" s="19" t="n">
        <v>46993</v>
      </c>
      <c r="C28" s="28" t="n">
        <v>8.65</v>
      </c>
      <c r="D28" s="31">
        <f>B28/543279.0*100</f>
        <v/>
      </c>
      <c r="E28" s="11" t="inlineStr">
        <is>
          <t>residual: all remaining ministries and programs</t>
        </is>
      </c>
      <c r="F28" s="23" t="inlineStr"/>
    </row>
    <row r="29">
      <c r="A29" s="25" t="inlineStr">
        <is>
          <t>TOTAL</t>
        </is>
      </c>
      <c r="B29" s="32">
        <f>SUM(B7:B28)</f>
        <v/>
      </c>
      <c r="C29" s="33">
        <f>SUM(C7:C28)</f>
        <v/>
      </c>
      <c r="D29" s="33">
        <f>SUM(D7:D28)</f>
        <v/>
      </c>
      <c r="E29" s="26">
        <f>IF(ABS(SUM(C7:C28)-100)&lt;0.005,"Shares sum to 100.00 — OK","SHARES DO NOT SUM TO 100")</f>
        <v/>
      </c>
      <c r="F29" s="23" t="inlineStr"/>
    </row>
    <row r="31" ht="62" customHeight="1">
      <c r="A31" s="34" t="inlineStr">
        <is>
          <t>Veterans Affairs is the one category not on the ministry basis. The Public Accounts show that segment at $546M because veterans' disability and future benefits are recognised as personnel expenses government-wide — publishing it would say Canada spends 0.1% of federal expenses on veterans. The figure used is total expenses from Veterans Affairs' own audited departmental financial statements, $7,209M, with the difference taken out of Other. Please sanity-check that this is the right call.</t>
        </is>
      </c>
      <c r="B31" s="35" t="n"/>
      <c r="C31" s="35" t="n"/>
      <c r="D31" s="35" t="n"/>
      <c r="E31" s="35" t="n"/>
      <c r="F31" s="35" t="n"/>
    </row>
  </sheetData>
  <mergeCells count="4">
    <mergeCell ref="A31:F31"/>
    <mergeCell ref="A2:F2"/>
    <mergeCell ref="A1:F1"/>
    <mergeCell ref="A4:F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5"/>
  <sheetViews>
    <sheetView showGridLines="0" workbookViewId="0">
      <pane ySplit="2" topLeftCell="A3" activePane="bottomLeft" state="frozen"/>
      <selection pane="bottomLeft" activeCell="A1" sqref="A1"/>
    </sheetView>
  </sheetViews>
  <sheetFormatPr baseColWidth="8" defaultRowHeight="15"/>
  <cols>
    <col width="26"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28" customWidth="1" min="13" max="13"/>
  </cols>
  <sheetData>
    <row r="1" ht="30" customHeight="1">
      <c r="A1" s="1" t="inlineStr">
        <is>
          <t>Provincial allocation — StatCan 10-10-0005-01, reference year 2024</t>
        </is>
      </c>
    </row>
    <row r="2" ht="26" customHeight="1">
      <c r="A2" s="2" t="inlineStr">
        <is>
          <t>Component: consolidated provincial-territorial and local governments. The ten categories are a partition of the ten CCOFOG divisions, so each jurisdiction sums to exactly 100 by construction.</t>
        </is>
      </c>
    </row>
    <row r="4" ht="52" customHeight="1">
      <c r="A4" s="4" t="inlineStr">
        <is>
          <t>The universe includes municipalities, school boards, hospitals and universities alongside the province. That is wider than "the provincial government", and it is the basis Statistics Canada publishes for comparing jurisdictions, because provinces delegate different functions to municipalities. CCOFOG excludes capital acquisition and consumption of fixed capital, so these are operating expenses — which understates transport most.</t>
        </is>
      </c>
    </row>
    <row r="6" ht="28" customHeight="1">
      <c r="A6" s="8" t="inlineStr">
        <is>
          <t>Jurisdiction</t>
        </is>
      </c>
      <c r="B6" s="8" t="inlineStr">
        <is>
          <t>Health</t>
        </is>
      </c>
      <c r="C6" s="8" t="inlineStr">
        <is>
          <t>Education</t>
        </is>
      </c>
      <c r="D6" s="8" t="inlineStr">
        <is>
          <t>Social assistance</t>
        </is>
      </c>
      <c r="E6" s="8" t="inlineStr">
        <is>
          <t>Debt servicing</t>
        </is>
      </c>
      <c r="F6" s="8" t="inlineStr">
        <is>
          <t>Transport</t>
        </is>
      </c>
      <c r="G6" s="8" t="inlineStr">
        <is>
          <t>Justice &amp; safety</t>
        </is>
      </c>
      <c r="H6" s="8" t="inlineStr">
        <is>
          <t>Housing</t>
        </is>
      </c>
      <c r="I6" s="8" t="inlineStr">
        <is>
          <t>Environment</t>
        </is>
      </c>
      <c r="J6" s="8" t="inlineStr">
        <is>
          <t>Administration</t>
        </is>
      </c>
      <c r="K6" s="8" t="inlineStr">
        <is>
          <t>Other</t>
        </is>
      </c>
      <c r="L6" s="8" t="inlineStr">
        <is>
          <t>Sum</t>
        </is>
      </c>
      <c r="M6" s="8" t="inlineStr">
        <is>
          <t>Total exp. ($M)</t>
        </is>
      </c>
    </row>
    <row r="7">
      <c r="A7" s="12" t="inlineStr">
        <is>
          <t>Alberta (AB)</t>
        </is>
      </c>
      <c r="B7" s="36" t="n">
        <v>33.4</v>
      </c>
      <c r="C7" s="36" t="n">
        <v>18.2</v>
      </c>
      <c r="D7" s="36" t="n">
        <v>13.7</v>
      </c>
      <c r="E7" s="36" t="n">
        <v>4</v>
      </c>
      <c r="F7" s="36" t="n">
        <v>4.4</v>
      </c>
      <c r="G7" s="36" t="n">
        <v>5.1</v>
      </c>
      <c r="H7" s="36" t="n">
        <v>1.9</v>
      </c>
      <c r="I7" s="36" t="n">
        <v>1.6</v>
      </c>
      <c r="J7" s="36" t="n">
        <v>5.8</v>
      </c>
      <c r="K7" s="36" t="n">
        <v>11.9</v>
      </c>
      <c r="L7" s="37">
        <f>SUM(B7:K7)</f>
        <v/>
      </c>
      <c r="M7" s="19" t="n">
        <v>85040</v>
      </c>
    </row>
    <row r="8">
      <c r="A8" s="12" t="inlineStr">
        <is>
          <t>British Columbia (BC)</t>
        </is>
      </c>
      <c r="B8" s="36" t="n">
        <v>38.3</v>
      </c>
      <c r="C8" s="36" t="n">
        <v>15.3</v>
      </c>
      <c r="D8" s="36" t="n">
        <v>15.6</v>
      </c>
      <c r="E8" s="36" t="n">
        <v>4.9</v>
      </c>
      <c r="F8" s="36" t="n">
        <v>3.8</v>
      </c>
      <c r="G8" s="36" t="n">
        <v>5.6</v>
      </c>
      <c r="H8" s="36" t="n">
        <v>1.9</v>
      </c>
      <c r="I8" s="36" t="n">
        <v>2.7</v>
      </c>
      <c r="J8" s="36" t="n">
        <v>4.1</v>
      </c>
      <c r="K8" s="36" t="n">
        <v>7.8</v>
      </c>
      <c r="L8" s="37">
        <f>SUM(B8:K8)</f>
        <v/>
      </c>
      <c r="M8" s="19" t="n">
        <v>102626</v>
      </c>
    </row>
    <row r="9">
      <c r="A9" s="12" t="inlineStr">
        <is>
          <t>Manitoba (MB)</t>
        </is>
      </c>
      <c r="B9" s="36" t="n">
        <v>37.6</v>
      </c>
      <c r="C9" s="36" t="n">
        <v>16.9</v>
      </c>
      <c r="D9" s="36" t="n">
        <v>15.6</v>
      </c>
      <c r="E9" s="36" t="n">
        <v>9.1</v>
      </c>
      <c r="F9" s="36" t="n">
        <v>2.2</v>
      </c>
      <c r="G9" s="36" t="n">
        <v>5.9</v>
      </c>
      <c r="H9" s="36" t="n">
        <v>1.6</v>
      </c>
      <c r="I9" s="36" t="n">
        <v>1.5</v>
      </c>
      <c r="J9" s="36" t="n">
        <v>4.3</v>
      </c>
      <c r="K9" s="36" t="n">
        <v>5.3</v>
      </c>
      <c r="L9" s="37">
        <f>SUM(B9:K9)</f>
        <v/>
      </c>
      <c r="M9" s="19" t="n">
        <v>27900</v>
      </c>
    </row>
    <row r="10">
      <c r="A10" s="12" t="inlineStr">
        <is>
          <t>New Brunswick (NB)</t>
        </is>
      </c>
      <c r="B10" s="36" t="n">
        <v>40.4</v>
      </c>
      <c r="C10" s="36" t="n">
        <v>18.7</v>
      </c>
      <c r="D10" s="36" t="n">
        <v>9.300000000000001</v>
      </c>
      <c r="E10" s="36" t="n">
        <v>5.1</v>
      </c>
      <c r="F10" s="36" t="n">
        <v>5.6</v>
      </c>
      <c r="G10" s="36" t="n">
        <v>5</v>
      </c>
      <c r="H10" s="36" t="n">
        <v>1.8</v>
      </c>
      <c r="I10" s="36" t="n">
        <v>1.2</v>
      </c>
      <c r="J10" s="36" t="n">
        <v>7.4</v>
      </c>
      <c r="K10" s="36" t="n">
        <v>5.5</v>
      </c>
      <c r="L10" s="37">
        <f>SUM(B10:K10)</f>
        <v/>
      </c>
      <c r="M10" s="19" t="n">
        <v>15117</v>
      </c>
    </row>
    <row r="11">
      <c r="A11" s="12" t="inlineStr">
        <is>
          <t>Newfoundland and Labrador (NL)</t>
        </is>
      </c>
      <c r="B11" s="36" t="n">
        <v>41.1</v>
      </c>
      <c r="C11" s="36" t="n">
        <v>16.7</v>
      </c>
      <c r="D11" s="36" t="n">
        <v>7.3</v>
      </c>
      <c r="E11" s="36" t="n">
        <v>9.199999999999999</v>
      </c>
      <c r="F11" s="36" t="n">
        <v>3.9</v>
      </c>
      <c r="G11" s="36" t="n">
        <v>4.2</v>
      </c>
      <c r="H11" s="36" t="n">
        <v>1.1</v>
      </c>
      <c r="I11" s="36" t="n">
        <v>1.4</v>
      </c>
      <c r="J11" s="36" t="n">
        <v>9</v>
      </c>
      <c r="K11" s="36" t="n">
        <v>6.1</v>
      </c>
      <c r="L11" s="37">
        <f>SUM(B11:K11)</f>
        <v/>
      </c>
      <c r="M11" s="19" t="n">
        <v>10740</v>
      </c>
    </row>
    <row r="12">
      <c r="A12" s="12" t="inlineStr">
        <is>
          <t>Nova Scotia (NS)</t>
        </is>
      </c>
      <c r="B12" s="36" t="n">
        <v>40.9</v>
      </c>
      <c r="C12" s="36" t="n">
        <v>18.4</v>
      </c>
      <c r="D12" s="36" t="n">
        <v>7.3</v>
      </c>
      <c r="E12" s="36" t="n">
        <v>4.2</v>
      </c>
      <c r="F12" s="36" t="n">
        <v>3.5</v>
      </c>
      <c r="G12" s="36" t="n">
        <v>5</v>
      </c>
      <c r="H12" s="36" t="n">
        <v>5.6</v>
      </c>
      <c r="I12" s="36" t="n">
        <v>2.2</v>
      </c>
      <c r="J12" s="36" t="n">
        <v>6.4</v>
      </c>
      <c r="K12" s="36" t="n">
        <v>6.5</v>
      </c>
      <c r="L12" s="37">
        <f>SUM(B12:K12)</f>
        <v/>
      </c>
      <c r="M12" s="19" t="n">
        <v>19370</v>
      </c>
    </row>
    <row r="13">
      <c r="A13" s="12" t="inlineStr">
        <is>
          <t>Northwest Territories (NT)</t>
        </is>
      </c>
      <c r="B13" s="36" t="n">
        <v>30</v>
      </c>
      <c r="C13" s="36" t="n">
        <v>10.2</v>
      </c>
      <c r="D13" s="36" t="n">
        <v>12.8</v>
      </c>
      <c r="E13" s="36" t="n">
        <v>1.9</v>
      </c>
      <c r="F13" s="36" t="n">
        <v>7</v>
      </c>
      <c r="G13" s="36" t="n">
        <v>6</v>
      </c>
      <c r="H13" s="36" t="n">
        <v>3.1</v>
      </c>
      <c r="I13" s="36" t="n">
        <v>4.4</v>
      </c>
      <c r="J13" s="36" t="n">
        <v>12</v>
      </c>
      <c r="K13" s="36" t="n">
        <v>12.6</v>
      </c>
      <c r="L13" s="37">
        <f>SUM(B13:K13)</f>
        <v/>
      </c>
      <c r="M13" s="19" t="n">
        <v>2883</v>
      </c>
    </row>
    <row r="14">
      <c r="A14" s="12" t="inlineStr">
        <is>
          <t>Nunavut (NU)</t>
        </is>
      </c>
      <c r="B14" s="36" t="n">
        <v>30.5</v>
      </c>
      <c r="C14" s="36" t="n">
        <v>11.4</v>
      </c>
      <c r="D14" s="36" t="n">
        <v>11.5</v>
      </c>
      <c r="E14" s="36" t="n">
        <v>0.5</v>
      </c>
      <c r="F14" s="36" t="n">
        <v>5</v>
      </c>
      <c r="G14" s="36" t="n">
        <v>5.5</v>
      </c>
      <c r="H14" s="36" t="n">
        <v>3.6</v>
      </c>
      <c r="I14" s="36" t="n">
        <v>0.7</v>
      </c>
      <c r="J14" s="36" t="n">
        <v>15.2</v>
      </c>
      <c r="K14" s="36" t="n">
        <v>16.1</v>
      </c>
      <c r="L14" s="37">
        <f>SUM(B14:K14)</f>
        <v/>
      </c>
      <c r="M14" s="19" t="n">
        <v>3080</v>
      </c>
    </row>
    <row r="15">
      <c r="A15" s="12" t="inlineStr">
        <is>
          <t>Ontario (ON)</t>
        </is>
      </c>
      <c r="B15" s="36" t="n">
        <v>33.7</v>
      </c>
      <c r="C15" s="36" t="n">
        <v>19.3</v>
      </c>
      <c r="D15" s="36" t="n">
        <v>14.9</v>
      </c>
      <c r="E15" s="36" t="n">
        <v>6.5</v>
      </c>
      <c r="F15" s="36" t="n">
        <v>6.3</v>
      </c>
      <c r="G15" s="36" t="n">
        <v>5.4</v>
      </c>
      <c r="H15" s="36" t="n">
        <v>1.4</v>
      </c>
      <c r="I15" s="36" t="n">
        <v>2</v>
      </c>
      <c r="J15" s="36" t="n">
        <v>2.9</v>
      </c>
      <c r="K15" s="36" t="n">
        <v>7.6</v>
      </c>
      <c r="L15" s="37">
        <f>SUM(B15:K15)</f>
        <v/>
      </c>
      <c r="M15" s="19" t="n">
        <v>273632</v>
      </c>
    </row>
    <row r="16">
      <c r="A16" s="12" t="inlineStr">
        <is>
          <t>Prince Edward Island (PE)</t>
        </is>
      </c>
      <c r="B16" s="36" t="n">
        <v>34.9</v>
      </c>
      <c r="C16" s="36" t="n">
        <v>19</v>
      </c>
      <c r="D16" s="36" t="n">
        <v>10.2</v>
      </c>
      <c r="E16" s="36" t="n">
        <v>5.8</v>
      </c>
      <c r="F16" s="36" t="n">
        <v>4.7</v>
      </c>
      <c r="G16" s="36" t="n">
        <v>3.4</v>
      </c>
      <c r="H16" s="36" t="n">
        <v>1.4</v>
      </c>
      <c r="I16" s="36" t="n">
        <v>3.5</v>
      </c>
      <c r="J16" s="36" t="n">
        <v>7.4</v>
      </c>
      <c r="K16" s="36" t="n">
        <v>9.699999999999999</v>
      </c>
      <c r="L16" s="37">
        <f>SUM(B16:K16)</f>
        <v/>
      </c>
      <c r="M16" s="19" t="n">
        <v>3195</v>
      </c>
    </row>
    <row r="17">
      <c r="A17" s="12" t="inlineStr">
        <is>
          <t>Quebec (QC)</t>
        </is>
      </c>
      <c r="B17" s="36" t="n">
        <v>31.4</v>
      </c>
      <c r="C17" s="36" t="n">
        <v>14.9</v>
      </c>
      <c r="D17" s="36" t="n">
        <v>15.9</v>
      </c>
      <c r="E17" s="36" t="n">
        <v>10.5</v>
      </c>
      <c r="F17" s="36" t="n">
        <v>4.7</v>
      </c>
      <c r="G17" s="36" t="n">
        <v>4.2</v>
      </c>
      <c r="H17" s="36" t="n">
        <v>0.9</v>
      </c>
      <c r="I17" s="36" t="n">
        <v>2.2</v>
      </c>
      <c r="J17" s="36" t="n">
        <v>7.1</v>
      </c>
      <c r="K17" s="36" t="n">
        <v>8.199999999999999</v>
      </c>
      <c r="L17" s="37">
        <f>SUM(B17:K17)</f>
        <v/>
      </c>
      <c r="M17" s="19" t="n">
        <v>187448</v>
      </c>
    </row>
    <row r="18">
      <c r="A18" s="12" t="inlineStr">
        <is>
          <t>Saskatchewan (SK)</t>
        </is>
      </c>
      <c r="B18" s="36" t="n">
        <v>32.4</v>
      </c>
      <c r="C18" s="36" t="n">
        <v>17.8</v>
      </c>
      <c r="D18" s="36" t="n">
        <v>16.7</v>
      </c>
      <c r="E18" s="36" t="n">
        <v>5</v>
      </c>
      <c r="F18" s="36" t="n">
        <v>2.8</v>
      </c>
      <c r="G18" s="36" t="n">
        <v>6.7</v>
      </c>
      <c r="H18" s="36" t="n">
        <v>1.9</v>
      </c>
      <c r="I18" s="36" t="n">
        <v>1.9</v>
      </c>
      <c r="J18" s="36" t="n">
        <v>3.3</v>
      </c>
      <c r="K18" s="36" t="n">
        <v>11.5</v>
      </c>
      <c r="L18" s="37">
        <f>SUM(B18:K18)</f>
        <v/>
      </c>
      <c r="M18" s="19" t="n">
        <v>25564</v>
      </c>
    </row>
    <row r="19">
      <c r="A19" s="12" t="inlineStr">
        <is>
          <t>Yukon (YT)</t>
        </is>
      </c>
      <c r="B19" s="36" t="n">
        <v>26.6</v>
      </c>
      <c r="C19" s="36" t="n">
        <v>12.6</v>
      </c>
      <c r="D19" s="36" t="n">
        <v>9.9</v>
      </c>
      <c r="E19" s="36" t="n">
        <v>0.6</v>
      </c>
      <c r="F19" s="36" t="n">
        <v>9.199999999999999</v>
      </c>
      <c r="G19" s="36" t="n">
        <v>8.800000000000001</v>
      </c>
      <c r="H19" s="36" t="n">
        <v>4.2</v>
      </c>
      <c r="I19" s="36" t="n">
        <v>6.9</v>
      </c>
      <c r="J19" s="36" t="n">
        <v>10.2</v>
      </c>
      <c r="K19" s="36" t="n">
        <v>11</v>
      </c>
      <c r="L19" s="37">
        <f>SUM(B19:K19)</f>
        <v/>
      </c>
      <c r="M19" s="19" t="n">
        <v>1851</v>
      </c>
    </row>
    <row r="20">
      <c r="A20" s="25" t="inlineStr">
        <is>
          <t>Check</t>
        </is>
      </c>
      <c r="B20" s="26">
        <f>IF(AND(MIN(L7:L19)&gt;99.99,MAX(L7:L19)&lt;100.01),"All 13 jurisdictions sum to exactly 100.0 — OK","A JURISDICTION DOES NOT SUM TO 100")</f>
        <v/>
      </c>
      <c r="C20" s="15" t="n"/>
      <c r="D20" s="15" t="n"/>
      <c r="E20" s="15" t="n"/>
      <c r="F20" s="15" t="n"/>
      <c r="G20" s="15" t="n"/>
      <c r="H20" s="15" t="n"/>
      <c r="I20" s="15" t="n"/>
      <c r="J20" s="15" t="n"/>
      <c r="K20" s="15" t="n"/>
      <c r="L20" s="15" t="n"/>
      <c r="M20" s="16" t="n"/>
    </row>
    <row r="22">
      <c r="A22" s="3" t="inlineStr">
        <is>
          <t>How each category is built</t>
        </is>
      </c>
    </row>
    <row r="23" ht="28" customHeight="1">
      <c r="A23" s="8" t="inlineStr">
        <is>
          <t>Category</t>
        </is>
      </c>
      <c r="B23" s="8" t="inlineStr">
        <is>
          <t>CCOFOG mapping</t>
        </is>
      </c>
      <c r="C23" s="8" t="inlineStr"/>
      <c r="D23" s="8" t="inlineStr"/>
      <c r="E23" s="8" t="inlineStr"/>
      <c r="F23" s="8" t="inlineStr"/>
      <c r="G23" s="8" t="inlineStr"/>
      <c r="H23" s="8" t="inlineStr"/>
      <c r="I23" s="8" t="inlineStr"/>
      <c r="J23" s="8" t="inlineStr"/>
      <c r="K23" s="8" t="inlineStr"/>
      <c r="L23" s="8" t="inlineStr"/>
      <c r="M23" s="8" t="inlineStr"/>
    </row>
    <row r="24">
      <c r="A24" s="12" t="inlineStr">
        <is>
          <t>Health</t>
        </is>
      </c>
      <c r="B24" s="11" t="inlineStr">
        <is>
          <t>CCOFOG 707 Health</t>
        </is>
      </c>
      <c r="C24" s="7" t="n"/>
      <c r="D24" s="7" t="n"/>
      <c r="E24" s="7" t="n"/>
      <c r="F24" s="7" t="n"/>
      <c r="G24" s="7" t="n"/>
      <c r="H24" s="7" t="n"/>
      <c r="I24" s="7" t="n"/>
      <c r="J24" s="7" t="n"/>
      <c r="K24" s="7" t="n"/>
      <c r="L24" s="7" t="n"/>
      <c r="M24" s="7" t="n"/>
    </row>
    <row r="25">
      <c r="A25" s="12" t="inlineStr">
        <is>
          <t>Education</t>
        </is>
      </c>
      <c r="B25" s="11" t="inlineStr">
        <is>
          <t>CCOFOG 709 Education (includes college and university)</t>
        </is>
      </c>
      <c r="C25" s="7" t="n"/>
      <c r="D25" s="7" t="n"/>
      <c r="E25" s="7" t="n"/>
      <c r="F25" s="7" t="n"/>
      <c r="G25" s="7" t="n"/>
      <c r="H25" s="7" t="n"/>
      <c r="I25" s="7" t="n"/>
      <c r="J25" s="7" t="n"/>
      <c r="K25" s="7" t="n"/>
      <c r="L25" s="7" t="n"/>
      <c r="M25" s="7" t="n"/>
    </row>
    <row r="26">
      <c r="A26" s="12" t="inlineStr">
        <is>
          <t>Social assistance</t>
        </is>
      </c>
      <c r="B26" s="11" t="inlineStr">
        <is>
          <t>CCOFOG 710 Social protection</t>
        </is>
      </c>
      <c r="C26" s="7" t="n"/>
      <c r="D26" s="7" t="n"/>
      <c r="E26" s="7" t="n"/>
      <c r="F26" s="7" t="n"/>
      <c r="G26" s="7" t="n"/>
      <c r="H26" s="7" t="n"/>
      <c r="I26" s="7" t="n"/>
      <c r="J26" s="7" t="n"/>
      <c r="K26" s="7" t="n"/>
      <c r="L26" s="7" t="n"/>
      <c r="M26" s="7" t="n"/>
    </row>
    <row r="27">
      <c r="A27" s="12" t="inlineStr">
        <is>
          <t>Debt servicing</t>
        </is>
      </c>
      <c r="B27" s="11" t="inlineStr">
        <is>
          <t>CCOFOG 7017 Public debt transactions</t>
        </is>
      </c>
      <c r="C27" s="7" t="n"/>
      <c r="D27" s="7" t="n"/>
      <c r="E27" s="7" t="n"/>
      <c r="F27" s="7" t="n"/>
      <c r="G27" s="7" t="n"/>
      <c r="H27" s="7" t="n"/>
      <c r="I27" s="7" t="n"/>
      <c r="J27" s="7" t="n"/>
      <c r="K27" s="7" t="n"/>
      <c r="L27" s="7" t="n"/>
      <c r="M27" s="7" t="n"/>
    </row>
    <row r="28">
      <c r="A28" s="12" t="inlineStr">
        <is>
          <t>Transport</t>
        </is>
      </c>
      <c r="B28" s="11" t="inlineStr">
        <is>
          <t>CCOFOG 7045 Transport</t>
        </is>
      </c>
      <c r="C28" s="7" t="n"/>
      <c r="D28" s="7" t="n"/>
      <c r="E28" s="7" t="n"/>
      <c r="F28" s="7" t="n"/>
      <c r="G28" s="7" t="n"/>
      <c r="H28" s="7" t="n"/>
      <c r="I28" s="7" t="n"/>
      <c r="J28" s="7" t="n"/>
      <c r="K28" s="7" t="n"/>
      <c r="L28" s="7" t="n"/>
      <c r="M28" s="7" t="n"/>
    </row>
    <row r="29">
      <c r="A29" s="12" t="inlineStr">
        <is>
          <t>Justice &amp; safety</t>
        </is>
      </c>
      <c r="B29" s="11" t="inlineStr">
        <is>
          <t>CCOFOG 703 Public order and safety</t>
        </is>
      </c>
      <c r="C29" s="7" t="n"/>
      <c r="D29" s="7" t="n"/>
      <c r="E29" s="7" t="n"/>
      <c r="F29" s="7" t="n"/>
      <c r="G29" s="7" t="n"/>
      <c r="H29" s="7" t="n"/>
      <c r="I29" s="7" t="n"/>
      <c r="J29" s="7" t="n"/>
      <c r="K29" s="7" t="n"/>
      <c r="L29" s="7" t="n"/>
      <c r="M29" s="7" t="n"/>
    </row>
    <row r="30">
      <c r="A30" s="12" t="inlineStr">
        <is>
          <t>Housing</t>
        </is>
      </c>
      <c r="B30" s="11" t="inlineStr">
        <is>
          <t>CCOFOG 706 Housing and community amenities</t>
        </is>
      </c>
      <c r="C30" s="7" t="n"/>
      <c r="D30" s="7" t="n"/>
      <c r="E30" s="7" t="n"/>
      <c r="F30" s="7" t="n"/>
      <c r="G30" s="7" t="n"/>
      <c r="H30" s="7" t="n"/>
      <c r="I30" s="7" t="n"/>
      <c r="J30" s="7" t="n"/>
      <c r="K30" s="7" t="n"/>
      <c r="L30" s="7" t="n"/>
      <c r="M30" s="7" t="n"/>
    </row>
    <row r="31">
      <c r="A31" s="12" t="inlineStr">
        <is>
          <t>Environment</t>
        </is>
      </c>
      <c r="B31" s="11" t="inlineStr">
        <is>
          <t>CCOFOG 705 Environmental protection</t>
        </is>
      </c>
      <c r="C31" s="7" t="n"/>
      <c r="D31" s="7" t="n"/>
      <c r="E31" s="7" t="n"/>
      <c r="F31" s="7" t="n"/>
      <c r="G31" s="7" t="n"/>
      <c r="H31" s="7" t="n"/>
      <c r="I31" s="7" t="n"/>
      <c r="J31" s="7" t="n"/>
      <c r="K31" s="7" t="n"/>
      <c r="L31" s="7" t="n"/>
      <c r="M31" s="7" t="n"/>
    </row>
    <row r="32">
      <c r="A32" s="12" t="inlineStr">
        <is>
          <t>Administration</t>
        </is>
      </c>
      <c r="B32" s="11" t="inlineStr">
        <is>
          <t>CCOFOG 701 General public services LESS 7017</t>
        </is>
      </c>
      <c r="C32" s="7" t="n"/>
      <c r="D32" s="7" t="n"/>
      <c r="E32" s="7" t="n"/>
      <c r="F32" s="7" t="n"/>
      <c r="G32" s="7" t="n"/>
      <c r="H32" s="7" t="n"/>
      <c r="I32" s="7" t="n"/>
      <c r="J32" s="7" t="n"/>
      <c r="K32" s="7" t="n"/>
      <c r="L32" s="7" t="n"/>
      <c r="M32" s="7" t="n"/>
    </row>
    <row r="33">
      <c r="A33" s="12" t="inlineStr">
        <is>
          <t>Other</t>
        </is>
      </c>
      <c r="B33" s="11" t="inlineStr">
        <is>
          <t>CCOFOG 702 Defence + 708 Recreation/culture + (704 Economic affairs LESS 7045)</t>
        </is>
      </c>
      <c r="C33" s="7" t="n"/>
      <c r="D33" s="7" t="n"/>
      <c r="E33" s="7" t="n"/>
      <c r="F33" s="7" t="n"/>
      <c r="G33" s="7" t="n"/>
      <c r="H33" s="7" t="n"/>
      <c r="I33" s="7" t="n"/>
      <c r="J33" s="7" t="n"/>
      <c r="K33" s="7" t="n"/>
      <c r="L33" s="7" t="n"/>
      <c r="M33" s="7" t="n"/>
    </row>
    <row r="35" ht="60" customHeight="1">
      <c r="A35" s="29" t="inlineStr">
        <is>
          <t>Why this table rather than the provincial-government-only series: the provincial-and-territorial component of table 10-10-0024-01 publishes only the 10 top-level divisions, so Transport [7045] and Public debt transactions [7017] do not exist there. The consolidated component of 10-10-0005-01 carries all 60 CCOFOG members, so every category comes from one table at one vintage on one universe. Its footnote 5 also states this series can be compared across jurisdictions.</t>
        </is>
      </c>
      <c r="B35" s="30" t="n"/>
      <c r="C35" s="30" t="n"/>
      <c r="D35" s="30" t="n"/>
      <c r="E35" s="30" t="n"/>
      <c r="F35" s="30" t="n"/>
      <c r="G35" s="30" t="n"/>
      <c r="H35" s="30" t="n"/>
      <c r="I35" s="30" t="n"/>
      <c r="J35" s="30" t="n"/>
      <c r="K35" s="30" t="n"/>
      <c r="L35" s="30" t="n"/>
      <c r="M35" s="30" t="n"/>
    </row>
  </sheetData>
  <mergeCells count="16">
    <mergeCell ref="B24:M24"/>
    <mergeCell ref="B33:M33"/>
    <mergeCell ref="A1:M1"/>
    <mergeCell ref="B25:M25"/>
    <mergeCell ref="B28:M28"/>
    <mergeCell ref="B20:M20"/>
    <mergeCell ref="A22:M22"/>
    <mergeCell ref="B31:M31"/>
    <mergeCell ref="A35:M35"/>
    <mergeCell ref="A4:M4"/>
    <mergeCell ref="B32:M32"/>
    <mergeCell ref="B26:M26"/>
    <mergeCell ref="B27:M27"/>
    <mergeCell ref="B30:M30"/>
    <mergeCell ref="A2:M2"/>
    <mergeCell ref="B29:M2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showGridLines="0" workbookViewId="0">
      <pane ySplit="2" topLeftCell="A3" activePane="bottomLeft" state="frozen"/>
      <selection pane="bottomLeft" activeCell="A1" sqref="A1"/>
    </sheetView>
  </sheetViews>
  <sheetFormatPr baseColWidth="8" defaultRowHeight="15"/>
  <cols>
    <col width="4" customWidth="1" min="1" max="1"/>
    <col width="30" customWidth="1" min="2" max="2"/>
    <col width="52" customWidth="1" min="3" max="3"/>
    <col width="52" customWidth="1" min="4" max="4"/>
    <col width="32" customWidth="1" min="5" max="5"/>
  </cols>
  <sheetData>
    <row r="1" ht="30" customHeight="1">
      <c r="A1" s="1" t="inlineStr">
        <is>
          <t>Judgment calls</t>
        </is>
      </c>
    </row>
    <row r="2" ht="26" customHeight="1">
      <c r="A2" s="2" t="inlineStr">
        <is>
          <t>Editorial decisions rather than arithmetic. These are where an outside view is worth most — please disagree freely.</t>
        </is>
      </c>
    </row>
    <row r="4" ht="28" customHeight="1">
      <c r="A4" s="8" t="inlineStr"/>
      <c r="B4" s="8" t="inlineStr">
        <is>
          <t>Decision</t>
        </is>
      </c>
      <c r="C4" s="8" t="inlineStr">
        <is>
          <t>What we did, and why</t>
        </is>
      </c>
      <c r="D4" s="8" t="inlineStr">
        <is>
          <t>The case against / what it costs</t>
        </is>
      </c>
      <c r="E4" s="8" t="inlineStr">
        <is>
          <t>Your view</t>
        </is>
      </c>
    </row>
    <row r="5" ht="74" customHeight="1">
      <c r="A5" s="5" t="n">
        <v>1</v>
      </c>
      <c r="B5" s="38" t="inlineStr">
        <is>
          <t>The provincial universe</t>
        </is>
      </c>
      <c r="C5" s="6" t="inlineStr">
        <is>
          <t>The provincial column consolidates municipalities, school boards, hospitals and universities with the province. Chosen because it reproduces all ten categories from one table and because StatCan says this basis can be compared across jurisdictions.</t>
        </is>
      </c>
      <c r="D5" s="6" t="inlineStr">
        <is>
          <t>The alternative — provincial government only — answers the literal question "where does my provincial tax go" more exactly, but has no transport line at all, starts only at 2015, and carries a footnote advising against comparing provinces. Municipal spending is also partly funded by property tax, which this tool does not model.</t>
        </is>
      </c>
      <c r="E5" s="23" t="inlineStr"/>
    </row>
    <row r="6" ht="74" customHeight="1">
      <c r="A6" s="5" t="n">
        <v>2</v>
      </c>
      <c r="B6" s="38" t="inlineStr">
        <is>
          <t>Mixing program and ministry lines federally</t>
        </is>
      </c>
      <c r="C6" s="6" t="inlineStr">
        <is>
          <t>Transfers and debt are program lines; functional categories are ministry totals. Kept because readers want to see the Canada Health Transfer and Canada Social Transfer as their own rows.</t>
        </is>
      </c>
      <c r="D6" s="6" t="inlineStr">
        <is>
          <t>It is not one clean cut of the accounts. Going all-ministry or all-functional would be more coherent but would bury the transfers inside Finance and Health.</t>
        </is>
      </c>
      <c r="E6" s="23" t="inlineStr"/>
    </row>
    <row r="7" ht="74" customHeight="1">
      <c r="A7" s="5" t="n">
        <v>3</v>
      </c>
      <c r="B7" s="38" t="inlineStr">
        <is>
          <t>Federal transfers appear on both sides</t>
        </is>
      </c>
      <c r="C7" s="6" t="inlineStr">
        <is>
          <t>The CHT, CST, Equalization and TFF are shown as federal rows AND are inside the provincial column, because your province spends those same dollars. The overlap is disclosed, not netted out.</t>
        </is>
      </c>
      <c r="D7" s="6" t="inlineStr">
        <is>
          <t>An earlier version subtracted each province's CHT share from health and renormalised, which moved the money onto the other nine categories rather than removing it. That was removed. Netting it out properly would need per-province CST, Equalization and TFF allocations.</t>
        </is>
      </c>
      <c r="E7" s="23" t="inlineStr"/>
    </row>
    <row r="8" ht="74" customHeight="1">
      <c r="A8" s="5" t="n">
        <v>4</v>
      </c>
      <c r="B8" s="38" t="inlineStr">
        <is>
          <t>Income tax is assumed to fund everything proportionally</t>
        </is>
      </c>
      <c r="C8" s="6" t="inlineStr">
        <is>
          <t>Your income tax is spread across all spending in proportion to what was spent. This is the method the UK uses for its Annual Tax Summary.</t>
        </is>
      </c>
      <c r="D8" s="6" t="inlineStr">
        <is>
          <t>No revenue source is earmarked. Income tax is roughly half of federal revenue and about a quarter of provincial revenue, so it funds no such uniform slice. This is the tool's central assumption and is stated on the page.</t>
        </is>
      </c>
      <c r="E8" s="23" t="inlineStr"/>
    </row>
    <row r="9" ht="74" customHeight="1">
      <c r="A9" s="5" t="n">
        <v>5</v>
      </c>
      <c r="B9" s="38" t="inlineStr">
        <is>
          <t>Deficits are not shown</t>
        </is>
      </c>
      <c r="C9" s="6" t="inlineStr">
        <is>
          <t>The tool allocates tax across total spending, without adjusting for the portion funded by borrowing.</t>
        </is>
      </c>
      <c r="D9" s="6" t="inlineStr">
        <is>
          <t>In 2024–25 Ottawa spent $547.3B against revenues of $511.0B, so about 6.6 cents of every dollar spent was borrowed rather than taxed. A slice of every category is therefore on credit. Should the tool say so, model it, or leave it to the accompanying article?</t>
        </is>
      </c>
      <c r="E9" s="23" t="inlineStr"/>
    </row>
    <row r="10" ht="74" customHeight="1">
      <c r="A10" s="5" t="n">
        <v>6</v>
      </c>
      <c r="B10" s="38" t="inlineStr">
        <is>
          <t>Employment credits and low-income reductions are not applied</t>
        </is>
      </c>
      <c r="C10" s="6" t="inlineStr">
        <is>
          <t>Only the basic personal amount is applied, so the tax figure runs high — about 3% at $200,000 and over 20% at $30,000.</t>
        </is>
      </c>
      <c r="D10" s="6" t="inlineStr">
        <is>
          <t>Applying them properly means CPP and EI credits, the Canada Employment Amount, and low-income reductions in at least six provinces, re-verified annually. None of it changes the spending split. Is disclosure enough?</t>
        </is>
      </c>
      <c r="E10" s="23" t="inlineStr"/>
    </row>
  </sheetData>
  <mergeCells count="2">
    <mergeCell ref="A2:E2"/>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4"/>
  <sheetViews>
    <sheetView showGridLines="0" workbookViewId="0">
      <pane ySplit="2" topLeftCell="A3" activePane="bottomLeft" state="frozen"/>
      <selection pane="bottomLeft" activeCell="A1" sqref="A1"/>
    </sheetView>
  </sheetViews>
  <sheetFormatPr baseColWidth="8" defaultRowHeight="15"/>
  <cols>
    <col width="34" customWidth="1" min="1" max="1"/>
    <col width="74" customWidth="1" min="2" max="2"/>
    <col width="20" customWidth="1" min="3" max="3"/>
    <col width="30" customWidth="1" min="4" max="4"/>
  </cols>
  <sheetData>
    <row r="1" ht="30" customHeight="1">
      <c r="A1" s="1" t="inlineStr">
        <is>
          <t>Known gaps</t>
        </is>
      </c>
    </row>
    <row r="2" ht="26" customHeight="1">
      <c r="A2" s="2" t="inlineStr">
        <is>
          <t>Things we know are missing or simplified. Listed so you do not spend time rediscovering them — but do say if you think any are more serious than we have assumed.</t>
        </is>
      </c>
    </row>
    <row r="4" ht="28" customHeight="1">
      <c r="A4" s="8" t="inlineStr">
        <is>
          <t>Gap</t>
        </is>
      </c>
      <c r="B4" s="8" t="inlineStr">
        <is>
          <t>What it means</t>
        </is>
      </c>
      <c r="C4" s="8" t="inlineStr">
        <is>
          <t>Status</t>
        </is>
      </c>
      <c r="D4" s="8" t="inlineStr">
        <is>
          <t>Your view</t>
        </is>
      </c>
    </row>
    <row r="5" ht="34" customHeight="1">
      <c r="A5" s="38" t="inlineStr">
        <is>
          <t>CPP and EI credits</t>
        </is>
      </c>
      <c r="B5" s="6" t="inlineStr">
        <is>
          <t>Premiums paid generate non-refundable credits; the enhanced portion of CPP is a deduction. Not applied, so tax runs high at every income.</t>
        </is>
      </c>
      <c r="C5" s="39" t="inlineStr">
        <is>
          <t>Deliberate</t>
        </is>
      </c>
      <c r="D5" s="23" t="inlineStr"/>
    </row>
    <row r="6" ht="34" customHeight="1">
      <c r="A6" s="38" t="inlineStr">
        <is>
          <t>Canada Employment Amount</t>
        </is>
      </c>
      <c r="B6" s="6" t="inlineStr">
        <is>
          <t>$1,471 federal credit claimable by most employees. Not applied.</t>
        </is>
      </c>
      <c r="C6" s="39" t="inlineStr">
        <is>
          <t>Deliberate</t>
        </is>
      </c>
      <c r="D6" s="23" t="inlineStr"/>
    </row>
    <row r="7" ht="34" customHeight="1">
      <c r="A7" s="38" t="inlineStr">
        <is>
          <t>Provincial low-income reductions</t>
        </is>
      </c>
      <c r="B7" s="6" t="inlineStr">
        <is>
          <t>Ontario's eliminates provincial tax below $18,569 and phases out by $24,391; Ontario also has the separate LIFT credit. BC applies one at source. Newfoundland, Nova Scotia, New Brunswick and PEI have their own. None modelled.</t>
        </is>
      </c>
      <c r="C7" s="39" t="inlineStr">
        <is>
          <t>Deliberate</t>
        </is>
      </c>
      <c r="D7" s="23" t="inlineStr"/>
    </row>
    <row r="8" ht="34" customHeight="1">
      <c r="A8" s="38" t="inlineStr">
        <is>
          <t>Marital status, dependants, RRSP</t>
        </is>
      </c>
      <c r="B8" s="6" t="inlineStr">
        <is>
          <t>Not collected, so no credit that depends on them is applied.</t>
        </is>
      </c>
      <c r="C8" s="39" t="inlineStr">
        <is>
          <t>Deliberate</t>
        </is>
      </c>
      <c r="D8" s="23" t="inlineStr"/>
    </row>
    <row r="9" ht="34" customHeight="1">
      <c r="A9" s="38" t="inlineStr">
        <is>
          <t>Taxable vs gross income</t>
        </is>
      </c>
      <c r="B9" s="6" t="inlineStr">
        <is>
          <t>The figure entered is treated as taxable income. Someone entering a salary is entering gross employment income, so their real taxable income is lower.</t>
        </is>
      </c>
      <c r="C9" s="39" t="inlineStr">
        <is>
          <t>Disclosed</t>
        </is>
      </c>
      <c r="D9" s="23" t="inlineStr"/>
    </row>
    <row r="10" ht="34" customHeight="1">
      <c r="A10" s="38" t="inlineStr">
        <is>
          <t>Basic personal amount phase-out</t>
        </is>
      </c>
      <c r="B10" s="6" t="inlineStr">
        <is>
          <t>The federal BPA phases down above $177,882. Not modelled.</t>
        </is>
      </c>
      <c r="C10" s="39" t="inlineStr">
        <is>
          <t>Minor, high incomes</t>
        </is>
      </c>
      <c r="D10" s="23" t="inlineStr"/>
    </row>
    <row r="11" ht="34" customHeight="1">
      <c r="A11" s="38" t="inlineStr">
        <is>
          <t>Top-up Tax Credit (line 34990)</t>
        </is>
      </c>
      <c r="B11" s="6" t="inlineStr">
        <is>
          <t>Applies only to credits claimed on amounts over $57,375. The tool models one credit, the $16,129 BPA, so it can never engage.</t>
        </is>
      </c>
      <c r="C11" s="39" t="inlineStr">
        <is>
          <t>Not applicable</t>
        </is>
      </c>
      <c r="D11" s="23" t="inlineStr"/>
    </row>
    <row r="12" ht="34" customHeight="1">
      <c r="A12" s="38" t="inlineStr">
        <is>
          <t>Capital spending, provincial side</t>
        </is>
      </c>
      <c r="B12" s="6" t="inlineStr">
        <is>
          <t>CCOFOG excludes acquisition of non-financial assets and consumption of fixed capital. Understates transport most.</t>
        </is>
      </c>
      <c r="C12" s="39" t="inlineStr">
        <is>
          <t>Source limitation</t>
        </is>
      </c>
      <c r="D12" s="23" t="inlineStr"/>
    </row>
    <row r="13" ht="34" customHeight="1">
      <c r="A13" s="38" t="inlineStr">
        <is>
          <t>Government business enterprises</t>
        </is>
      </c>
      <c r="B13" s="6" t="inlineStr">
        <is>
          <t>Excluded from CCOFOG by definition.</t>
        </is>
      </c>
      <c r="C13" s="39" t="inlineStr">
        <is>
          <t>Source limitation</t>
        </is>
      </c>
      <c r="D13" s="23" t="inlineStr"/>
    </row>
    <row r="14" ht="34" customHeight="1">
      <c r="A14" s="38" t="inlineStr">
        <is>
          <t>Provincial vintage</t>
        </is>
      </c>
      <c r="B14" s="6" t="inlineStr">
        <is>
          <t>Provincial data is reference year 2024; federal is fiscal 2024–25. Close but not identical periods.</t>
        </is>
      </c>
      <c r="C14" s="39" t="inlineStr">
        <is>
          <t>Disclosed</t>
        </is>
      </c>
      <c r="D14" s="23" t="inlineStr"/>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2026-08-06T19:02:14Z</dcterms:created>
  <dcterms:modified xsi:type="dcterms:W3CDTF">2026-08-06T19:02:14Z</dcterms:modified>
</cp:coreProperties>
</file>